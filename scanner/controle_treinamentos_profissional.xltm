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icheli\Desktop\DocumentScanner\scanner\"/>
    </mc:Choice>
  </mc:AlternateContent>
  <xr:revisionPtr revIDLastSave="0" documentId="13_ncr:1_{74DA638A-04D1-48A0-A26C-8DFB3AE5E685}" xr6:coauthVersionLast="47" xr6:coauthVersionMax="47" xr10:uidLastSave="{00000000-0000-0000-0000-000000000000}"/>
  <bookViews>
    <workbookView xWindow="-108" yWindow="-108" windowWidth="23256" windowHeight="12456" firstSheet="1" activeTab="3" xr2:uid="{00000000-000D-0000-FFFF-FFFF00000000}"/>
  </bookViews>
  <sheets>
    <sheet name="FUNCIONARIOS" sheetId="1" r:id="rId1"/>
    <sheet name="TREINAMENTOS" sheetId="2" r:id="rId2"/>
    <sheet name="ListaScanner" sheetId="3" r:id="rId3"/>
    <sheet name="CONTROLE" sheetId="4" r:id="rId4"/>
    <sheet name="PRESENCA" sheetId="5" r:id="rId5"/>
    <sheet name="DASHBOARD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6" i="4" l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5" i="4"/>
  <c r="C6" i="4"/>
  <c r="F6" i="4" s="1"/>
  <c r="C7" i="4"/>
  <c r="E7" i="4" s="1"/>
  <c r="C8" i="4"/>
  <c r="F8" i="4" s="1"/>
  <c r="C9" i="4"/>
  <c r="F9" i="4" s="1"/>
  <c r="C10" i="4"/>
  <c r="C11" i="4"/>
  <c r="F11" i="4" s="1"/>
  <c r="C12" i="4"/>
  <c r="C13" i="4"/>
  <c r="D13" i="4" s="1"/>
  <c r="C14" i="4"/>
  <c r="F14" i="4" s="1"/>
  <c r="C15" i="4"/>
  <c r="D15" i="4" s="1"/>
  <c r="C16" i="4"/>
  <c r="F16" i="4" s="1"/>
  <c r="C5" i="4"/>
  <c r="F5" i="4" s="1"/>
  <c r="B1" i="6"/>
  <c r="F204" i="4"/>
  <c r="E204" i="4"/>
  <c r="D204" i="4"/>
  <c r="F203" i="4"/>
  <c r="E203" i="4"/>
  <c r="D203" i="4"/>
  <c r="F202" i="4"/>
  <c r="E202" i="4"/>
  <c r="D202" i="4"/>
  <c r="F201" i="4"/>
  <c r="E201" i="4"/>
  <c r="D201" i="4"/>
  <c r="F200" i="4"/>
  <c r="E200" i="4"/>
  <c r="D200" i="4"/>
  <c r="F199" i="4"/>
  <c r="E199" i="4"/>
  <c r="D199" i="4"/>
  <c r="F198" i="4"/>
  <c r="E198" i="4"/>
  <c r="D198" i="4"/>
  <c r="F197" i="4"/>
  <c r="E197" i="4"/>
  <c r="D197" i="4"/>
  <c r="F196" i="4"/>
  <c r="E196" i="4"/>
  <c r="D196" i="4"/>
  <c r="F195" i="4"/>
  <c r="E195" i="4"/>
  <c r="D195" i="4"/>
  <c r="F194" i="4"/>
  <c r="E194" i="4"/>
  <c r="D194" i="4"/>
  <c r="F193" i="4"/>
  <c r="E193" i="4"/>
  <c r="D193" i="4"/>
  <c r="F192" i="4"/>
  <c r="E192" i="4"/>
  <c r="D192" i="4"/>
  <c r="F191" i="4"/>
  <c r="E191" i="4"/>
  <c r="D191" i="4"/>
  <c r="F190" i="4"/>
  <c r="E190" i="4"/>
  <c r="D190" i="4"/>
  <c r="F189" i="4"/>
  <c r="E189" i="4"/>
  <c r="D189" i="4"/>
  <c r="F188" i="4"/>
  <c r="E188" i="4"/>
  <c r="D188" i="4"/>
  <c r="F187" i="4"/>
  <c r="E187" i="4"/>
  <c r="D187" i="4"/>
  <c r="F186" i="4"/>
  <c r="E186" i="4"/>
  <c r="D186" i="4"/>
  <c r="F185" i="4"/>
  <c r="E185" i="4"/>
  <c r="D185" i="4"/>
  <c r="F184" i="4"/>
  <c r="E184" i="4"/>
  <c r="D184" i="4"/>
  <c r="F183" i="4"/>
  <c r="E183" i="4"/>
  <c r="D183" i="4"/>
  <c r="F182" i="4"/>
  <c r="E182" i="4"/>
  <c r="D182" i="4"/>
  <c r="F181" i="4"/>
  <c r="E181" i="4"/>
  <c r="D181" i="4"/>
  <c r="F180" i="4"/>
  <c r="E180" i="4"/>
  <c r="D180" i="4"/>
  <c r="F179" i="4"/>
  <c r="E179" i="4"/>
  <c r="D179" i="4"/>
  <c r="F178" i="4"/>
  <c r="E178" i="4"/>
  <c r="D178" i="4"/>
  <c r="F177" i="4"/>
  <c r="E177" i="4"/>
  <c r="D177" i="4"/>
  <c r="F176" i="4"/>
  <c r="E176" i="4"/>
  <c r="D176" i="4"/>
  <c r="F175" i="4"/>
  <c r="E175" i="4"/>
  <c r="D175" i="4"/>
  <c r="F174" i="4"/>
  <c r="E174" i="4"/>
  <c r="D174" i="4"/>
  <c r="F173" i="4"/>
  <c r="E173" i="4"/>
  <c r="D173" i="4"/>
  <c r="F172" i="4"/>
  <c r="E172" i="4"/>
  <c r="D172" i="4"/>
  <c r="F171" i="4"/>
  <c r="E171" i="4"/>
  <c r="D171" i="4"/>
  <c r="F170" i="4"/>
  <c r="E170" i="4"/>
  <c r="D170" i="4"/>
  <c r="F169" i="4"/>
  <c r="E169" i="4"/>
  <c r="D169" i="4"/>
  <c r="F168" i="4"/>
  <c r="E168" i="4"/>
  <c r="D168" i="4"/>
  <c r="F167" i="4"/>
  <c r="E167" i="4"/>
  <c r="D167" i="4"/>
  <c r="F166" i="4"/>
  <c r="E166" i="4"/>
  <c r="D166" i="4"/>
  <c r="F165" i="4"/>
  <c r="E165" i="4"/>
  <c r="D165" i="4"/>
  <c r="F164" i="4"/>
  <c r="E164" i="4"/>
  <c r="D164" i="4"/>
  <c r="F163" i="4"/>
  <c r="E163" i="4"/>
  <c r="D163" i="4"/>
  <c r="F162" i="4"/>
  <c r="E162" i="4"/>
  <c r="D162" i="4"/>
  <c r="F161" i="4"/>
  <c r="E161" i="4"/>
  <c r="D161" i="4"/>
  <c r="F160" i="4"/>
  <c r="E160" i="4"/>
  <c r="D160" i="4"/>
  <c r="F159" i="4"/>
  <c r="E159" i="4"/>
  <c r="D159" i="4"/>
  <c r="F158" i="4"/>
  <c r="E158" i="4"/>
  <c r="D158" i="4"/>
  <c r="F157" i="4"/>
  <c r="E157" i="4"/>
  <c r="D157" i="4"/>
  <c r="F156" i="4"/>
  <c r="E156" i="4"/>
  <c r="D156" i="4"/>
  <c r="F155" i="4"/>
  <c r="E155" i="4"/>
  <c r="D155" i="4"/>
  <c r="F154" i="4"/>
  <c r="E154" i="4"/>
  <c r="D154" i="4"/>
  <c r="F153" i="4"/>
  <c r="E153" i="4"/>
  <c r="D153" i="4"/>
  <c r="F152" i="4"/>
  <c r="E152" i="4"/>
  <c r="D152" i="4"/>
  <c r="F151" i="4"/>
  <c r="E151" i="4"/>
  <c r="D151" i="4"/>
  <c r="F150" i="4"/>
  <c r="E150" i="4"/>
  <c r="D150" i="4"/>
  <c r="F149" i="4"/>
  <c r="E149" i="4"/>
  <c r="D149" i="4"/>
  <c r="F148" i="4"/>
  <c r="E148" i="4"/>
  <c r="D148" i="4"/>
  <c r="F147" i="4"/>
  <c r="E147" i="4"/>
  <c r="D147" i="4"/>
  <c r="F146" i="4"/>
  <c r="E146" i="4"/>
  <c r="D146" i="4"/>
  <c r="F145" i="4"/>
  <c r="E145" i="4"/>
  <c r="D145" i="4"/>
  <c r="F144" i="4"/>
  <c r="E144" i="4"/>
  <c r="D144" i="4"/>
  <c r="F143" i="4"/>
  <c r="E143" i="4"/>
  <c r="D143" i="4"/>
  <c r="F142" i="4"/>
  <c r="E142" i="4"/>
  <c r="D142" i="4"/>
  <c r="F141" i="4"/>
  <c r="E141" i="4"/>
  <c r="D141" i="4"/>
  <c r="F140" i="4"/>
  <c r="E140" i="4"/>
  <c r="D140" i="4"/>
  <c r="F139" i="4"/>
  <c r="E139" i="4"/>
  <c r="D139" i="4"/>
  <c r="F138" i="4"/>
  <c r="E138" i="4"/>
  <c r="D138" i="4"/>
  <c r="F137" i="4"/>
  <c r="E137" i="4"/>
  <c r="D137" i="4"/>
  <c r="F136" i="4"/>
  <c r="E136" i="4"/>
  <c r="D136" i="4"/>
  <c r="F135" i="4"/>
  <c r="E135" i="4"/>
  <c r="D135" i="4"/>
  <c r="F134" i="4"/>
  <c r="E134" i="4"/>
  <c r="D134" i="4"/>
  <c r="F133" i="4"/>
  <c r="E133" i="4"/>
  <c r="D133" i="4"/>
  <c r="F132" i="4"/>
  <c r="E132" i="4"/>
  <c r="D132" i="4"/>
  <c r="F131" i="4"/>
  <c r="E131" i="4"/>
  <c r="D131" i="4"/>
  <c r="F130" i="4"/>
  <c r="E130" i="4"/>
  <c r="D130" i="4"/>
  <c r="F129" i="4"/>
  <c r="E129" i="4"/>
  <c r="D129" i="4"/>
  <c r="F128" i="4"/>
  <c r="E128" i="4"/>
  <c r="D128" i="4"/>
  <c r="F127" i="4"/>
  <c r="E127" i="4"/>
  <c r="D127" i="4"/>
  <c r="F126" i="4"/>
  <c r="E126" i="4"/>
  <c r="D126" i="4"/>
  <c r="F125" i="4"/>
  <c r="E125" i="4"/>
  <c r="D125" i="4"/>
  <c r="F124" i="4"/>
  <c r="E124" i="4"/>
  <c r="D124" i="4"/>
  <c r="F123" i="4"/>
  <c r="E123" i="4"/>
  <c r="D123" i="4"/>
  <c r="F122" i="4"/>
  <c r="E122" i="4"/>
  <c r="D122" i="4"/>
  <c r="F121" i="4"/>
  <c r="E121" i="4"/>
  <c r="D121" i="4"/>
  <c r="F120" i="4"/>
  <c r="E120" i="4"/>
  <c r="D120" i="4"/>
  <c r="F119" i="4"/>
  <c r="E119" i="4"/>
  <c r="D119" i="4"/>
  <c r="F118" i="4"/>
  <c r="E118" i="4"/>
  <c r="D118" i="4"/>
  <c r="F117" i="4"/>
  <c r="E117" i="4"/>
  <c r="D117" i="4"/>
  <c r="F116" i="4"/>
  <c r="E116" i="4"/>
  <c r="D116" i="4"/>
  <c r="F115" i="4"/>
  <c r="E115" i="4"/>
  <c r="D115" i="4"/>
  <c r="F114" i="4"/>
  <c r="E114" i="4"/>
  <c r="D114" i="4"/>
  <c r="F113" i="4"/>
  <c r="E113" i="4"/>
  <c r="D113" i="4"/>
  <c r="F112" i="4"/>
  <c r="E112" i="4"/>
  <c r="D112" i="4"/>
  <c r="F111" i="4"/>
  <c r="E111" i="4"/>
  <c r="D111" i="4"/>
  <c r="F110" i="4"/>
  <c r="E110" i="4"/>
  <c r="D110" i="4"/>
  <c r="F109" i="4"/>
  <c r="E109" i="4"/>
  <c r="D109" i="4"/>
  <c r="F108" i="4"/>
  <c r="E108" i="4"/>
  <c r="D108" i="4"/>
  <c r="F107" i="4"/>
  <c r="E107" i="4"/>
  <c r="D107" i="4"/>
  <c r="F106" i="4"/>
  <c r="E106" i="4"/>
  <c r="D106" i="4"/>
  <c r="F105" i="4"/>
  <c r="E105" i="4"/>
  <c r="D105" i="4"/>
  <c r="F104" i="4"/>
  <c r="E104" i="4"/>
  <c r="D104" i="4"/>
  <c r="F103" i="4"/>
  <c r="E103" i="4"/>
  <c r="D103" i="4"/>
  <c r="F102" i="4"/>
  <c r="E102" i="4"/>
  <c r="D102" i="4"/>
  <c r="F101" i="4"/>
  <c r="E101" i="4"/>
  <c r="D101" i="4"/>
  <c r="F100" i="4"/>
  <c r="E100" i="4"/>
  <c r="D100" i="4"/>
  <c r="F99" i="4"/>
  <c r="E99" i="4"/>
  <c r="D99" i="4"/>
  <c r="F98" i="4"/>
  <c r="E98" i="4"/>
  <c r="D98" i="4"/>
  <c r="F97" i="4"/>
  <c r="E97" i="4"/>
  <c r="D97" i="4"/>
  <c r="F96" i="4"/>
  <c r="E96" i="4"/>
  <c r="D96" i="4"/>
  <c r="F95" i="4"/>
  <c r="E95" i="4"/>
  <c r="D95" i="4"/>
  <c r="F94" i="4"/>
  <c r="E94" i="4"/>
  <c r="D94" i="4"/>
  <c r="F93" i="4"/>
  <c r="E93" i="4"/>
  <c r="D93" i="4"/>
  <c r="F92" i="4"/>
  <c r="E92" i="4"/>
  <c r="D92" i="4"/>
  <c r="F91" i="4"/>
  <c r="E91" i="4"/>
  <c r="D91" i="4"/>
  <c r="F90" i="4"/>
  <c r="E90" i="4"/>
  <c r="D90" i="4"/>
  <c r="F89" i="4"/>
  <c r="E89" i="4"/>
  <c r="D89" i="4"/>
  <c r="F88" i="4"/>
  <c r="E88" i="4"/>
  <c r="D88" i="4"/>
  <c r="F87" i="4"/>
  <c r="E87" i="4"/>
  <c r="D87" i="4"/>
  <c r="F86" i="4"/>
  <c r="E86" i="4"/>
  <c r="D86" i="4"/>
  <c r="F85" i="4"/>
  <c r="E85" i="4"/>
  <c r="D85" i="4"/>
  <c r="F84" i="4"/>
  <c r="E84" i="4"/>
  <c r="D84" i="4"/>
  <c r="F83" i="4"/>
  <c r="E83" i="4"/>
  <c r="D83" i="4"/>
  <c r="F82" i="4"/>
  <c r="E82" i="4"/>
  <c r="D82" i="4"/>
  <c r="F81" i="4"/>
  <c r="E81" i="4"/>
  <c r="D81" i="4"/>
  <c r="F80" i="4"/>
  <c r="E80" i="4"/>
  <c r="D80" i="4"/>
  <c r="F79" i="4"/>
  <c r="E79" i="4"/>
  <c r="D79" i="4"/>
  <c r="F78" i="4"/>
  <c r="E78" i="4"/>
  <c r="D78" i="4"/>
  <c r="F77" i="4"/>
  <c r="E77" i="4"/>
  <c r="D77" i="4"/>
  <c r="F76" i="4"/>
  <c r="E76" i="4"/>
  <c r="D76" i="4"/>
  <c r="F75" i="4"/>
  <c r="E75" i="4"/>
  <c r="D75" i="4"/>
  <c r="F74" i="4"/>
  <c r="E74" i="4"/>
  <c r="D74" i="4"/>
  <c r="F73" i="4"/>
  <c r="E73" i="4"/>
  <c r="D73" i="4"/>
  <c r="F72" i="4"/>
  <c r="E72" i="4"/>
  <c r="D72" i="4"/>
  <c r="F71" i="4"/>
  <c r="E71" i="4"/>
  <c r="D71" i="4"/>
  <c r="F70" i="4"/>
  <c r="E70" i="4"/>
  <c r="D70" i="4"/>
  <c r="F69" i="4"/>
  <c r="E69" i="4"/>
  <c r="D69" i="4"/>
  <c r="F68" i="4"/>
  <c r="E68" i="4"/>
  <c r="D68" i="4"/>
  <c r="F67" i="4"/>
  <c r="E67" i="4"/>
  <c r="D67" i="4"/>
  <c r="F66" i="4"/>
  <c r="E66" i="4"/>
  <c r="D66" i="4"/>
  <c r="F65" i="4"/>
  <c r="E65" i="4"/>
  <c r="D65" i="4"/>
  <c r="F64" i="4"/>
  <c r="E64" i="4"/>
  <c r="D64" i="4"/>
  <c r="F63" i="4"/>
  <c r="E63" i="4"/>
  <c r="D63" i="4"/>
  <c r="F62" i="4"/>
  <c r="E62" i="4"/>
  <c r="D62" i="4"/>
  <c r="F61" i="4"/>
  <c r="E61" i="4"/>
  <c r="D61" i="4"/>
  <c r="F60" i="4"/>
  <c r="E60" i="4"/>
  <c r="D60" i="4"/>
  <c r="F59" i="4"/>
  <c r="E59" i="4"/>
  <c r="D59" i="4"/>
  <c r="F58" i="4"/>
  <c r="E58" i="4"/>
  <c r="D58" i="4"/>
  <c r="F57" i="4"/>
  <c r="E57" i="4"/>
  <c r="D57" i="4"/>
  <c r="F56" i="4"/>
  <c r="E56" i="4"/>
  <c r="D56" i="4"/>
  <c r="F55" i="4"/>
  <c r="E55" i="4"/>
  <c r="D55" i="4"/>
  <c r="F54" i="4"/>
  <c r="E54" i="4"/>
  <c r="D54" i="4"/>
  <c r="F53" i="4"/>
  <c r="E53" i="4"/>
  <c r="D53" i="4"/>
  <c r="F52" i="4"/>
  <c r="E52" i="4"/>
  <c r="D52" i="4"/>
  <c r="F51" i="4"/>
  <c r="E51" i="4"/>
  <c r="D51" i="4"/>
  <c r="F50" i="4"/>
  <c r="E50" i="4"/>
  <c r="D50" i="4"/>
  <c r="F49" i="4"/>
  <c r="E49" i="4"/>
  <c r="D49" i="4"/>
  <c r="F48" i="4"/>
  <c r="E48" i="4"/>
  <c r="D48" i="4"/>
  <c r="F47" i="4"/>
  <c r="E47" i="4"/>
  <c r="D47" i="4"/>
  <c r="F46" i="4"/>
  <c r="E46" i="4"/>
  <c r="D46" i="4"/>
  <c r="F45" i="4"/>
  <c r="E45" i="4"/>
  <c r="D45" i="4"/>
  <c r="F44" i="4"/>
  <c r="E44" i="4"/>
  <c r="D44" i="4"/>
  <c r="F43" i="4"/>
  <c r="E43" i="4"/>
  <c r="D43" i="4"/>
  <c r="F42" i="4"/>
  <c r="E42" i="4"/>
  <c r="D42" i="4"/>
  <c r="F41" i="4"/>
  <c r="E41" i="4"/>
  <c r="D41" i="4"/>
  <c r="F40" i="4"/>
  <c r="E40" i="4"/>
  <c r="D40" i="4"/>
  <c r="F39" i="4"/>
  <c r="E39" i="4"/>
  <c r="D39" i="4"/>
  <c r="F38" i="4"/>
  <c r="E38" i="4"/>
  <c r="D38" i="4"/>
  <c r="F37" i="4"/>
  <c r="E37" i="4"/>
  <c r="D37" i="4"/>
  <c r="F36" i="4"/>
  <c r="E36" i="4"/>
  <c r="D36" i="4"/>
  <c r="F35" i="4"/>
  <c r="E35" i="4"/>
  <c r="D35" i="4"/>
  <c r="F34" i="4"/>
  <c r="E34" i="4"/>
  <c r="D34" i="4"/>
  <c r="F33" i="4"/>
  <c r="E33" i="4"/>
  <c r="D33" i="4"/>
  <c r="F32" i="4"/>
  <c r="E32" i="4"/>
  <c r="D32" i="4"/>
  <c r="F31" i="4"/>
  <c r="E31" i="4"/>
  <c r="D31" i="4"/>
  <c r="F30" i="4"/>
  <c r="E30" i="4"/>
  <c r="D30" i="4"/>
  <c r="F29" i="4"/>
  <c r="E29" i="4"/>
  <c r="D29" i="4"/>
  <c r="F28" i="4"/>
  <c r="E28" i="4"/>
  <c r="D28" i="4"/>
  <c r="F27" i="4"/>
  <c r="E27" i="4"/>
  <c r="D27" i="4"/>
  <c r="F26" i="4"/>
  <c r="E26" i="4"/>
  <c r="D26" i="4"/>
  <c r="F25" i="4"/>
  <c r="E25" i="4"/>
  <c r="D25" i="4"/>
  <c r="F24" i="4"/>
  <c r="E24" i="4"/>
  <c r="D24" i="4"/>
  <c r="F23" i="4"/>
  <c r="E23" i="4"/>
  <c r="D23" i="4"/>
  <c r="F22" i="4"/>
  <c r="E22" i="4"/>
  <c r="D22" i="4"/>
  <c r="F21" i="4"/>
  <c r="E21" i="4"/>
  <c r="D21" i="4"/>
  <c r="F20" i="4"/>
  <c r="E20" i="4"/>
  <c r="D20" i="4"/>
  <c r="F19" i="4"/>
  <c r="E19" i="4"/>
  <c r="D19" i="4"/>
  <c r="F18" i="4"/>
  <c r="E18" i="4"/>
  <c r="D18" i="4"/>
  <c r="F17" i="4"/>
  <c r="E17" i="4"/>
  <c r="D17" i="4"/>
  <c r="F13" i="4"/>
  <c r="E13" i="4"/>
  <c r="F12" i="4"/>
  <c r="E12" i="4"/>
  <c r="D12" i="4"/>
  <c r="E11" i="4"/>
  <c r="F10" i="4"/>
  <c r="E10" i="4"/>
  <c r="D10" i="4"/>
  <c r="E9" i="4"/>
  <c r="D9" i="4"/>
  <c r="E8" i="4"/>
  <c r="D8" i="4"/>
  <c r="F7" i="4"/>
  <c r="E15" i="4" l="1"/>
  <c r="D16" i="4"/>
  <c r="E16" i="4"/>
  <c r="E5" i="4"/>
  <c r="D5" i="4"/>
  <c r="D6" i="4"/>
  <c r="E6" i="4"/>
  <c r="D7" i="4"/>
  <c r="F15" i="4"/>
  <c r="D14" i="4"/>
  <c r="D11" i="4"/>
  <c r="E14" i="4"/>
  <c r="B3" i="6"/>
  <c r="B2" i="6"/>
  <c r="B4" i="6" s="1"/>
</calcChain>
</file>

<file path=xl/sharedStrings.xml><?xml version="1.0" encoding="utf-8"?>
<sst xmlns="http://schemas.openxmlformats.org/spreadsheetml/2006/main" count="27" uniqueCount="16">
  <si>
    <t>Matrícula</t>
  </si>
  <si>
    <t>Nome</t>
  </si>
  <si>
    <t>Setor</t>
  </si>
  <si>
    <t>Ativo</t>
  </si>
  <si>
    <t>ID_Treinamento</t>
  </si>
  <si>
    <t>Nome_Treinamento</t>
  </si>
  <si>
    <t>Data do Treinamento:</t>
  </si>
  <si>
    <t>ID do Treinamento:</t>
  </si>
  <si>
    <t>Data</t>
  </si>
  <si>
    <t>Status</t>
  </si>
  <si>
    <t>Total Funcionários:</t>
  </si>
  <si>
    <t>Total OK (Treinamento Atual):</t>
  </si>
  <si>
    <t>Total NÃO (Treinamento Atual):</t>
  </si>
  <si>
    <t>% Presença:</t>
  </si>
  <si>
    <t>FO0603060006</t>
  </si>
  <si>
    <t>jonni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</si>
</sst>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259080</xdr:colOff>
          <xdr:row>1</xdr:row>
          <xdr:rowOff>76200</xdr:rowOff>
        </xdr:from>
        <xdr:to>
          <xdr:col>6</xdr:col>
          <xdr:colOff>129540</xdr:colOff>
          <xdr:row>2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114300</xdr:rowOff>
        </xdr:from>
        <xdr:to>
          <xdr:col>8</xdr:col>
          <xdr:colOff>175260</xdr:colOff>
          <xdr:row>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11"/>
  <sheetViews>
    <sheetView workbookViewId="0">
      <selection activeCell="B3" sqref="B3"/>
    </sheetView>
  </sheetViews>
  <sheetFormatPr defaultRowHeight="14.4" x14ac:dyDescent="0.3"/>
  <sheetData>
    <row r="1" spans="1:4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">
      <c r="A2">
        <v>140398</v>
      </c>
      <c r="B2" t="s">
        <v>15</v>
      </c>
    </row>
    <row r="3" spans="1:4" x14ac:dyDescent="0.3">
      <c r="A3">
        <v>155194</v>
      </c>
    </row>
    <row r="4" spans="1:4" x14ac:dyDescent="0.3">
      <c r="A4">
        <v>147124</v>
      </c>
    </row>
    <row r="5" spans="1:4" x14ac:dyDescent="0.3">
      <c r="A5">
        <v>157522</v>
      </c>
    </row>
    <row r="6" spans="1:4" x14ac:dyDescent="0.3">
      <c r="A6">
        <v>157530</v>
      </c>
    </row>
    <row r="7" spans="1:4" x14ac:dyDescent="0.3">
      <c r="A7">
        <v>157692</v>
      </c>
    </row>
    <row r="8" spans="1:4" x14ac:dyDescent="0.3">
      <c r="A8">
        <v>158373</v>
      </c>
    </row>
    <row r="9" spans="1:4" x14ac:dyDescent="0.3">
      <c r="A9">
        <v>134965</v>
      </c>
    </row>
    <row r="10" spans="1:4" x14ac:dyDescent="0.3">
      <c r="A10">
        <v>58961</v>
      </c>
    </row>
    <row r="11" spans="1:4" x14ac:dyDescent="0.3">
      <c r="A11">
        <v>149433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B1"/>
  <sheetViews>
    <sheetView workbookViewId="0"/>
  </sheetViews>
  <sheetFormatPr defaultRowHeight="14.4" x14ac:dyDescent="0.3"/>
  <sheetData>
    <row r="1" spans="1:2" x14ac:dyDescent="0.3">
      <c r="A1" s="1" t="s">
        <v>4</v>
      </c>
      <c r="B1" s="1" t="s">
        <v>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9"/>
  <sheetViews>
    <sheetView workbookViewId="0">
      <selection activeCell="Q9" sqref="Q9"/>
    </sheetView>
  </sheetViews>
  <sheetFormatPr defaultRowHeight="14.4" x14ac:dyDescent="0.3"/>
  <sheetData>
    <row r="1" spans="1:1" x14ac:dyDescent="0.3">
      <c r="A1" s="1" t="s">
        <v>0</v>
      </c>
    </row>
    <row r="2" spans="1:1" x14ac:dyDescent="0.3">
      <c r="A2">
        <v>140398</v>
      </c>
    </row>
    <row r="3" spans="1:1" x14ac:dyDescent="0.3">
      <c r="A3">
        <v>155194</v>
      </c>
    </row>
    <row r="4" spans="1:1" x14ac:dyDescent="0.3">
      <c r="A4">
        <v>147124</v>
      </c>
    </row>
    <row r="5" spans="1:1" x14ac:dyDescent="0.3">
      <c r="A5">
        <v>157522</v>
      </c>
    </row>
    <row r="6" spans="1:1" x14ac:dyDescent="0.3">
      <c r="A6">
        <v>157530</v>
      </c>
    </row>
    <row r="7" spans="1:1" x14ac:dyDescent="0.3">
      <c r="A7">
        <v>157692</v>
      </c>
    </row>
    <row r="8" spans="1:1" x14ac:dyDescent="0.3">
      <c r="A8">
        <v>158373</v>
      </c>
    </row>
    <row r="9" spans="1:1" x14ac:dyDescent="0.3">
      <c r="A9">
        <v>134965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F217"/>
  <sheetViews>
    <sheetView tabSelected="1" workbookViewId="0">
      <selection activeCell="H7" sqref="H7"/>
    </sheetView>
  </sheetViews>
  <sheetFormatPr defaultRowHeight="14.4" x14ac:dyDescent="0.3"/>
  <cols>
    <col min="1" max="1" width="11.6640625" customWidth="1"/>
    <col min="2" max="2" width="14.6640625" bestFit="1" customWidth="1"/>
    <col min="3" max="3" width="10.5546875" bestFit="1" customWidth="1"/>
  </cols>
  <sheetData>
    <row r="1" spans="1:6" x14ac:dyDescent="0.3">
      <c r="A1" t="s">
        <v>6</v>
      </c>
      <c r="C1" s="2">
        <v>46079</v>
      </c>
    </row>
    <row r="2" spans="1:6" x14ac:dyDescent="0.3">
      <c r="A2" t="s">
        <v>7</v>
      </c>
      <c r="C2" t="s">
        <v>14</v>
      </c>
    </row>
    <row r="4" spans="1:6" x14ac:dyDescent="0.3">
      <c r="A4" s="1" t="s">
        <v>8</v>
      </c>
      <c r="B4" s="1" t="s">
        <v>4</v>
      </c>
      <c r="C4" s="1" t="s">
        <v>0</v>
      </c>
      <c r="D4" s="1" t="s">
        <v>1</v>
      </c>
      <c r="E4" s="1" t="s">
        <v>2</v>
      </c>
      <c r="F4" s="1" t="s">
        <v>9</v>
      </c>
    </row>
    <row r="5" spans="1:6" x14ac:dyDescent="0.3">
      <c r="A5" s="2">
        <f>$C$1</f>
        <v>46079</v>
      </c>
      <c r="B5" t="str">
        <f>$C$2</f>
        <v>FO0603060006</v>
      </c>
      <c r="C5">
        <f>FUNCIONARIOS!A2</f>
        <v>140398</v>
      </c>
      <c r="D5" t="str">
        <f>IFERROR(VLOOKUP(C5,FUNCIONARIOS!A:D,2,FALSE),"")</f>
        <v>jonni</v>
      </c>
      <c r="E5">
        <f>IFERROR(VLOOKUP(C5,FUNCIONARIOS!A:D,3,FALSE),"")</f>
        <v>0</v>
      </c>
      <c r="F5" t="str">
        <f>IF(ISNUMBER(MATCH(C5,ListaScanner!A:A,0)),"OK","NÃO")</f>
        <v>OK</v>
      </c>
    </row>
    <row r="6" spans="1:6" x14ac:dyDescent="0.3">
      <c r="A6" s="2">
        <f t="shared" ref="A6:A69" si="0">$C$1</f>
        <v>46079</v>
      </c>
      <c r="B6" t="str">
        <f t="shared" ref="B6:B69" si="1">$C$2</f>
        <v>FO0603060006</v>
      </c>
      <c r="C6">
        <f>FUNCIONARIOS!A3</f>
        <v>155194</v>
      </c>
      <c r="D6">
        <f>IFERROR(VLOOKUP(C6,FUNCIONARIOS!A:D,2,FALSE),"")</f>
        <v>0</v>
      </c>
      <c r="E6">
        <f>IFERROR(VLOOKUP(C6,FUNCIONARIOS!A:D,3,FALSE),"")</f>
        <v>0</v>
      </c>
      <c r="F6" t="str">
        <f>IF(ISNUMBER(MATCH(C6,ListaScanner!A:A,0)),"OK","NÃO")</f>
        <v>OK</v>
      </c>
    </row>
    <row r="7" spans="1:6" x14ac:dyDescent="0.3">
      <c r="A7" s="2">
        <f t="shared" si="0"/>
        <v>46079</v>
      </c>
      <c r="B7" t="str">
        <f t="shared" si="1"/>
        <v>FO0603060006</v>
      </c>
      <c r="C7">
        <f>FUNCIONARIOS!A4</f>
        <v>147124</v>
      </c>
      <c r="D7">
        <f>IFERROR(VLOOKUP(C7,FUNCIONARIOS!A:D,2,FALSE),"")</f>
        <v>0</v>
      </c>
      <c r="E7">
        <f>IFERROR(VLOOKUP(C7,FUNCIONARIOS!A:D,3,FALSE),"")</f>
        <v>0</v>
      </c>
      <c r="F7" t="str">
        <f>IF(ISNUMBER(MATCH(C7,ListaScanner!A:A,0)),"OK","NÃO")</f>
        <v>OK</v>
      </c>
    </row>
    <row r="8" spans="1:6" x14ac:dyDescent="0.3">
      <c r="A8" s="2">
        <f t="shared" si="0"/>
        <v>46079</v>
      </c>
      <c r="B8" t="str">
        <f t="shared" si="1"/>
        <v>FO0603060006</v>
      </c>
      <c r="C8">
        <f>FUNCIONARIOS!A5</f>
        <v>157522</v>
      </c>
      <c r="D8">
        <f>IFERROR(VLOOKUP(C8,FUNCIONARIOS!A:D,2,FALSE),"")</f>
        <v>0</v>
      </c>
      <c r="E8">
        <f>IFERROR(VLOOKUP(C8,FUNCIONARIOS!A:D,3,FALSE),"")</f>
        <v>0</v>
      </c>
      <c r="F8" t="str">
        <f>IF(ISNUMBER(MATCH(C8,ListaScanner!A:A,0)),"OK","NÃO")</f>
        <v>OK</v>
      </c>
    </row>
    <row r="9" spans="1:6" x14ac:dyDescent="0.3">
      <c r="A9" s="2">
        <f t="shared" si="0"/>
        <v>46079</v>
      </c>
      <c r="B9" t="str">
        <f t="shared" si="1"/>
        <v>FO0603060006</v>
      </c>
      <c r="C9">
        <f>FUNCIONARIOS!A6</f>
        <v>157530</v>
      </c>
      <c r="D9">
        <f>IFERROR(VLOOKUP(C9,FUNCIONARIOS!A:D,2,FALSE),"")</f>
        <v>0</v>
      </c>
      <c r="E9">
        <f>IFERROR(VLOOKUP(C9,FUNCIONARIOS!A:D,3,FALSE),"")</f>
        <v>0</v>
      </c>
      <c r="F9" t="str">
        <f>IF(ISNUMBER(MATCH(C9,ListaScanner!A:A,0)),"OK","NÃO")</f>
        <v>OK</v>
      </c>
    </row>
    <row r="10" spans="1:6" x14ac:dyDescent="0.3">
      <c r="A10" s="2">
        <f t="shared" si="0"/>
        <v>46079</v>
      </c>
      <c r="B10" t="str">
        <f t="shared" si="1"/>
        <v>FO0603060006</v>
      </c>
      <c r="C10">
        <f>FUNCIONARIOS!A7</f>
        <v>157692</v>
      </c>
      <c r="D10">
        <f>IFERROR(VLOOKUP(C10,FUNCIONARIOS!A:D,2,FALSE),"")</f>
        <v>0</v>
      </c>
      <c r="E10">
        <f>IFERROR(VLOOKUP(C10,FUNCIONARIOS!A:D,3,FALSE),"")</f>
        <v>0</v>
      </c>
      <c r="F10" t="str">
        <f>IF(ISNUMBER(MATCH(C10,ListaScanner!A:A,0)),"OK","NÃO")</f>
        <v>OK</v>
      </c>
    </row>
    <row r="11" spans="1:6" x14ac:dyDescent="0.3">
      <c r="A11" s="2">
        <f t="shared" si="0"/>
        <v>46079</v>
      </c>
      <c r="B11" t="str">
        <f t="shared" si="1"/>
        <v>FO0603060006</v>
      </c>
      <c r="C11">
        <f>FUNCIONARIOS!A8</f>
        <v>158373</v>
      </c>
      <c r="D11">
        <f>IFERROR(VLOOKUP(C11,FUNCIONARIOS!A:D,2,FALSE),"")</f>
        <v>0</v>
      </c>
      <c r="E11">
        <f>IFERROR(VLOOKUP(C11,FUNCIONARIOS!A:D,3,FALSE),"")</f>
        <v>0</v>
      </c>
      <c r="F11" t="str">
        <f>IF(ISNUMBER(MATCH(C11,ListaScanner!A:A,0)),"OK","NÃO")</f>
        <v>OK</v>
      </c>
    </row>
    <row r="12" spans="1:6" x14ac:dyDescent="0.3">
      <c r="A12" s="2">
        <f t="shared" si="0"/>
        <v>46079</v>
      </c>
      <c r="B12" t="str">
        <f t="shared" si="1"/>
        <v>FO0603060006</v>
      </c>
      <c r="C12">
        <f>FUNCIONARIOS!A9</f>
        <v>134965</v>
      </c>
      <c r="D12">
        <f>IFERROR(VLOOKUP(C12,FUNCIONARIOS!A:D,2,FALSE),"")</f>
        <v>0</v>
      </c>
      <c r="E12">
        <f>IFERROR(VLOOKUP(C12,FUNCIONARIOS!A:D,3,FALSE),"")</f>
        <v>0</v>
      </c>
      <c r="F12" t="str">
        <f>IF(ISNUMBER(MATCH(C12,ListaScanner!A:A,0)),"OK","NÃO")</f>
        <v>OK</v>
      </c>
    </row>
    <row r="13" spans="1:6" x14ac:dyDescent="0.3">
      <c r="A13" s="2">
        <f t="shared" si="0"/>
        <v>46079</v>
      </c>
      <c r="B13" t="str">
        <f t="shared" si="1"/>
        <v>FO0603060006</v>
      </c>
      <c r="C13">
        <f>FUNCIONARIOS!A10</f>
        <v>58961</v>
      </c>
      <c r="D13">
        <f>IFERROR(VLOOKUP(C13,FUNCIONARIOS!A:D,2,FALSE),"")</f>
        <v>0</v>
      </c>
      <c r="E13">
        <f>IFERROR(VLOOKUP(C13,FUNCIONARIOS!A:D,3,FALSE),"")</f>
        <v>0</v>
      </c>
      <c r="F13" t="str">
        <f>IF(ISNUMBER(MATCH(C13,ListaScanner!A:A,0)),"OK","NÃO")</f>
        <v>NÃO</v>
      </c>
    </row>
    <row r="14" spans="1:6" x14ac:dyDescent="0.3">
      <c r="A14" s="2">
        <f t="shared" si="0"/>
        <v>46079</v>
      </c>
      <c r="B14" t="str">
        <f t="shared" si="1"/>
        <v>FO0603060006</v>
      </c>
      <c r="C14">
        <f>FUNCIONARIOS!A11</f>
        <v>149433</v>
      </c>
      <c r="D14">
        <f>IFERROR(VLOOKUP(C14,FUNCIONARIOS!A:D,2,FALSE),"")</f>
        <v>0</v>
      </c>
      <c r="E14">
        <f>IFERROR(VLOOKUP(C14,FUNCIONARIOS!A:D,3,FALSE),"")</f>
        <v>0</v>
      </c>
      <c r="F14" t="str">
        <f>IF(ISNUMBER(MATCH(C14,ListaScanner!A:A,0)),"OK","NÃO")</f>
        <v>NÃO</v>
      </c>
    </row>
    <row r="15" spans="1:6" x14ac:dyDescent="0.3">
      <c r="A15" s="2">
        <f t="shared" si="0"/>
        <v>46079</v>
      </c>
      <c r="B15" t="str">
        <f t="shared" si="1"/>
        <v>FO0603060006</v>
      </c>
      <c r="C15">
        <f>FUNCIONARIOS!A12</f>
        <v>0</v>
      </c>
      <c r="D15" t="str">
        <f>IFERROR(VLOOKUP(C15,FUNCIONARIOS!A:D,2,FALSE),"")</f>
        <v/>
      </c>
      <c r="E15" t="str">
        <f>IFERROR(VLOOKUP(C15,FUNCIONARIOS!A:D,3,FALSE),"")</f>
        <v/>
      </c>
      <c r="F15" t="str">
        <f>IF(ISNUMBER(MATCH(C15,ListaScanner!A:A,0)),"OK","NÃO")</f>
        <v>NÃO</v>
      </c>
    </row>
    <row r="16" spans="1:6" x14ac:dyDescent="0.3">
      <c r="A16" s="2">
        <f t="shared" si="0"/>
        <v>46079</v>
      </c>
      <c r="B16" t="str">
        <f t="shared" si="1"/>
        <v>FO0603060006</v>
      </c>
      <c r="C16">
        <f>FUNCIONARIOS!A13</f>
        <v>0</v>
      </c>
      <c r="D16" t="str">
        <f>IFERROR(VLOOKUP(C16,FUNCIONARIOS!A:D,2,FALSE),"")</f>
        <v/>
      </c>
      <c r="E16" t="str">
        <f>IFERROR(VLOOKUP(C16,FUNCIONARIOS!A:D,3,FALSE),"")</f>
        <v/>
      </c>
      <c r="F16" t="str">
        <f>IF(ISNUMBER(MATCH(C16,ListaScanner!A:A,0)),"OK","NÃO")</f>
        <v>NÃO</v>
      </c>
    </row>
    <row r="17" spans="1:6" x14ac:dyDescent="0.3">
      <c r="A17" s="2">
        <f t="shared" si="0"/>
        <v>46079</v>
      </c>
      <c r="B17" t="str">
        <f t="shared" si="1"/>
        <v>FO0603060006</v>
      </c>
      <c r="D17" t="str">
        <f>IFERROR(VLOOKUP(C17,FUNCIONARIOS!A:D,2,FALSE),"")</f>
        <v/>
      </c>
      <c r="E17" t="str">
        <f>IFERROR(VLOOKUP(C17,FUNCIONARIOS!A:D,3,FALSE),"")</f>
        <v/>
      </c>
      <c r="F17" t="str">
        <f>IF(ISNUMBER(MATCH(C17,ListaScanner!A:A,0)),"OK","NÃO")</f>
        <v>NÃO</v>
      </c>
    </row>
    <row r="18" spans="1:6" x14ac:dyDescent="0.3">
      <c r="A18" s="2">
        <f t="shared" si="0"/>
        <v>46079</v>
      </c>
      <c r="B18" t="str">
        <f t="shared" si="1"/>
        <v>FO0603060006</v>
      </c>
      <c r="D18" t="str">
        <f>IFERROR(VLOOKUP(C18,FUNCIONARIOS!A:D,2,FALSE),"")</f>
        <v/>
      </c>
      <c r="E18" t="str">
        <f>IFERROR(VLOOKUP(C18,FUNCIONARIOS!A:D,3,FALSE),"")</f>
        <v/>
      </c>
      <c r="F18" t="str">
        <f>IF(ISNUMBER(MATCH(C18,ListaScanner!A:A,0)),"OK","NÃO")</f>
        <v>NÃO</v>
      </c>
    </row>
    <row r="19" spans="1:6" x14ac:dyDescent="0.3">
      <c r="A19" s="2">
        <f t="shared" si="0"/>
        <v>46079</v>
      </c>
      <c r="B19" t="str">
        <f t="shared" si="1"/>
        <v>FO0603060006</v>
      </c>
      <c r="D19" t="str">
        <f>IFERROR(VLOOKUP(C19,FUNCIONARIOS!A:D,2,FALSE),"")</f>
        <v/>
      </c>
      <c r="E19" t="str">
        <f>IFERROR(VLOOKUP(C19,FUNCIONARIOS!A:D,3,FALSE),"")</f>
        <v/>
      </c>
      <c r="F19" t="str">
        <f>IF(ISNUMBER(MATCH(C19,ListaScanner!A:A,0)),"OK","NÃO")</f>
        <v>NÃO</v>
      </c>
    </row>
    <row r="20" spans="1:6" x14ac:dyDescent="0.3">
      <c r="A20" s="2">
        <f t="shared" si="0"/>
        <v>46079</v>
      </c>
      <c r="B20" t="str">
        <f t="shared" si="1"/>
        <v>FO0603060006</v>
      </c>
      <c r="D20" t="str">
        <f>IFERROR(VLOOKUP(C20,FUNCIONARIOS!A:D,2,FALSE),"")</f>
        <v/>
      </c>
      <c r="E20" t="str">
        <f>IFERROR(VLOOKUP(C20,FUNCIONARIOS!A:D,3,FALSE),"")</f>
        <v/>
      </c>
      <c r="F20" t="str">
        <f>IF(ISNUMBER(MATCH(C20,ListaScanner!A:A,0)),"OK","NÃO")</f>
        <v>NÃO</v>
      </c>
    </row>
    <row r="21" spans="1:6" x14ac:dyDescent="0.3">
      <c r="A21" s="2">
        <f t="shared" si="0"/>
        <v>46079</v>
      </c>
      <c r="B21" t="str">
        <f t="shared" si="1"/>
        <v>FO0603060006</v>
      </c>
      <c r="D21" t="str">
        <f>IFERROR(VLOOKUP(C21,FUNCIONARIOS!A:D,2,FALSE),"")</f>
        <v/>
      </c>
      <c r="E21" t="str">
        <f>IFERROR(VLOOKUP(C21,FUNCIONARIOS!A:D,3,FALSE),"")</f>
        <v/>
      </c>
      <c r="F21" t="str">
        <f>IF(ISNUMBER(MATCH(C21,ListaScanner!A:A,0)),"OK","NÃO")</f>
        <v>NÃO</v>
      </c>
    </row>
    <row r="22" spans="1:6" x14ac:dyDescent="0.3">
      <c r="A22" s="2">
        <f t="shared" si="0"/>
        <v>46079</v>
      </c>
      <c r="B22" t="str">
        <f t="shared" si="1"/>
        <v>FO0603060006</v>
      </c>
      <c r="D22" t="str">
        <f>IFERROR(VLOOKUP(C22,FUNCIONARIOS!A:D,2,FALSE),"")</f>
        <v/>
      </c>
      <c r="E22" t="str">
        <f>IFERROR(VLOOKUP(C22,FUNCIONARIOS!A:D,3,FALSE),"")</f>
        <v/>
      </c>
      <c r="F22" t="str">
        <f>IF(ISNUMBER(MATCH(C22,ListaScanner!A:A,0)),"OK","NÃO")</f>
        <v>NÃO</v>
      </c>
    </row>
    <row r="23" spans="1:6" x14ac:dyDescent="0.3">
      <c r="A23" s="2">
        <f t="shared" si="0"/>
        <v>46079</v>
      </c>
      <c r="B23" t="str">
        <f t="shared" si="1"/>
        <v>FO0603060006</v>
      </c>
      <c r="D23" t="str">
        <f>IFERROR(VLOOKUP(C23,FUNCIONARIOS!A:D,2,FALSE),"")</f>
        <v/>
      </c>
      <c r="E23" t="str">
        <f>IFERROR(VLOOKUP(C23,FUNCIONARIOS!A:D,3,FALSE),"")</f>
        <v/>
      </c>
      <c r="F23" t="str">
        <f>IF(ISNUMBER(MATCH(C23,ListaScanner!A:A,0)),"OK","NÃO")</f>
        <v>NÃO</v>
      </c>
    </row>
    <row r="24" spans="1:6" x14ac:dyDescent="0.3">
      <c r="A24" s="2">
        <f t="shared" si="0"/>
        <v>46079</v>
      </c>
      <c r="B24" t="str">
        <f t="shared" si="1"/>
        <v>FO0603060006</v>
      </c>
      <c r="D24" t="str">
        <f>IFERROR(VLOOKUP(C24,FUNCIONARIOS!A:D,2,FALSE),"")</f>
        <v/>
      </c>
      <c r="E24" t="str">
        <f>IFERROR(VLOOKUP(C24,FUNCIONARIOS!A:D,3,FALSE),"")</f>
        <v/>
      </c>
      <c r="F24" t="str">
        <f>IF(ISNUMBER(MATCH(C24,ListaScanner!A:A,0)),"OK","NÃO")</f>
        <v>NÃO</v>
      </c>
    </row>
    <row r="25" spans="1:6" x14ac:dyDescent="0.3">
      <c r="A25" s="2">
        <f t="shared" si="0"/>
        <v>46079</v>
      </c>
      <c r="B25" t="str">
        <f t="shared" si="1"/>
        <v>FO0603060006</v>
      </c>
      <c r="D25" t="str">
        <f>IFERROR(VLOOKUP(C25,FUNCIONARIOS!A:D,2,FALSE),"")</f>
        <v/>
      </c>
      <c r="E25" t="str">
        <f>IFERROR(VLOOKUP(C25,FUNCIONARIOS!A:D,3,FALSE),"")</f>
        <v/>
      </c>
      <c r="F25" t="str">
        <f>IF(ISNUMBER(MATCH(C25,ListaScanner!A:A,0)),"OK","NÃO")</f>
        <v>NÃO</v>
      </c>
    </row>
    <row r="26" spans="1:6" x14ac:dyDescent="0.3">
      <c r="A26" s="2">
        <f t="shared" si="0"/>
        <v>46079</v>
      </c>
      <c r="B26" t="str">
        <f t="shared" si="1"/>
        <v>FO0603060006</v>
      </c>
      <c r="D26" t="str">
        <f>IFERROR(VLOOKUP(C26,FUNCIONARIOS!A:D,2,FALSE),"")</f>
        <v/>
      </c>
      <c r="E26" t="str">
        <f>IFERROR(VLOOKUP(C26,FUNCIONARIOS!A:D,3,FALSE),"")</f>
        <v/>
      </c>
      <c r="F26" t="str">
        <f>IF(ISNUMBER(MATCH(C26,ListaScanner!A:A,0)),"OK","NÃO")</f>
        <v>NÃO</v>
      </c>
    </row>
    <row r="27" spans="1:6" x14ac:dyDescent="0.3">
      <c r="A27" s="2">
        <f t="shared" si="0"/>
        <v>46079</v>
      </c>
      <c r="B27" t="str">
        <f t="shared" si="1"/>
        <v>FO0603060006</v>
      </c>
      <c r="D27" t="str">
        <f>IFERROR(VLOOKUP(C27,FUNCIONARIOS!A:D,2,FALSE),"")</f>
        <v/>
      </c>
      <c r="E27" t="str">
        <f>IFERROR(VLOOKUP(C27,FUNCIONARIOS!A:D,3,FALSE),"")</f>
        <v/>
      </c>
      <c r="F27" t="str">
        <f>IF(ISNUMBER(MATCH(C27,ListaScanner!A:A,0)),"OK","NÃO")</f>
        <v>NÃO</v>
      </c>
    </row>
    <row r="28" spans="1:6" x14ac:dyDescent="0.3">
      <c r="A28" s="2">
        <f t="shared" si="0"/>
        <v>46079</v>
      </c>
      <c r="B28" t="str">
        <f t="shared" si="1"/>
        <v>FO0603060006</v>
      </c>
      <c r="D28" t="str">
        <f>IFERROR(VLOOKUP(C28,FUNCIONARIOS!A:D,2,FALSE),"")</f>
        <v/>
      </c>
      <c r="E28" t="str">
        <f>IFERROR(VLOOKUP(C28,FUNCIONARIOS!A:D,3,FALSE),"")</f>
        <v/>
      </c>
      <c r="F28" t="str">
        <f>IF(ISNUMBER(MATCH(C28,ListaScanner!A:A,0)),"OK","NÃO")</f>
        <v>NÃO</v>
      </c>
    </row>
    <row r="29" spans="1:6" x14ac:dyDescent="0.3">
      <c r="A29" s="2">
        <f t="shared" si="0"/>
        <v>46079</v>
      </c>
      <c r="B29" t="str">
        <f t="shared" si="1"/>
        <v>FO0603060006</v>
      </c>
      <c r="D29" t="str">
        <f>IFERROR(VLOOKUP(C29,FUNCIONARIOS!A:D,2,FALSE),"")</f>
        <v/>
      </c>
      <c r="E29" t="str">
        <f>IFERROR(VLOOKUP(C29,FUNCIONARIOS!A:D,3,FALSE),"")</f>
        <v/>
      </c>
      <c r="F29" t="str">
        <f>IF(ISNUMBER(MATCH(C29,ListaScanner!A:A,0)),"OK","NÃO")</f>
        <v>NÃO</v>
      </c>
    </row>
    <row r="30" spans="1:6" x14ac:dyDescent="0.3">
      <c r="A30" s="2">
        <f t="shared" si="0"/>
        <v>46079</v>
      </c>
      <c r="B30" t="str">
        <f t="shared" si="1"/>
        <v>FO0603060006</v>
      </c>
      <c r="D30" t="str">
        <f>IFERROR(VLOOKUP(C30,FUNCIONARIOS!A:D,2,FALSE),"")</f>
        <v/>
      </c>
      <c r="E30" t="str">
        <f>IFERROR(VLOOKUP(C30,FUNCIONARIOS!A:D,3,FALSE),"")</f>
        <v/>
      </c>
      <c r="F30" t="str">
        <f>IF(ISNUMBER(MATCH(C30,ListaScanner!A:A,0)),"OK","NÃO")</f>
        <v>NÃO</v>
      </c>
    </row>
    <row r="31" spans="1:6" x14ac:dyDescent="0.3">
      <c r="A31" s="2">
        <f t="shared" si="0"/>
        <v>46079</v>
      </c>
      <c r="B31" t="str">
        <f t="shared" si="1"/>
        <v>FO0603060006</v>
      </c>
      <c r="D31" t="str">
        <f>IFERROR(VLOOKUP(C31,FUNCIONARIOS!A:D,2,FALSE),"")</f>
        <v/>
      </c>
      <c r="E31" t="str">
        <f>IFERROR(VLOOKUP(C31,FUNCIONARIOS!A:D,3,FALSE),"")</f>
        <v/>
      </c>
      <c r="F31" t="str">
        <f>IF(ISNUMBER(MATCH(C31,ListaScanner!A:A,0)),"OK","NÃO")</f>
        <v>NÃO</v>
      </c>
    </row>
    <row r="32" spans="1:6" x14ac:dyDescent="0.3">
      <c r="A32" s="2">
        <f t="shared" si="0"/>
        <v>46079</v>
      </c>
      <c r="B32" t="str">
        <f t="shared" si="1"/>
        <v>FO0603060006</v>
      </c>
      <c r="D32" t="str">
        <f>IFERROR(VLOOKUP(C32,FUNCIONARIOS!A:D,2,FALSE),"")</f>
        <v/>
      </c>
      <c r="E32" t="str">
        <f>IFERROR(VLOOKUP(C32,FUNCIONARIOS!A:D,3,FALSE),"")</f>
        <v/>
      </c>
      <c r="F32" t="str">
        <f>IF(ISNUMBER(MATCH(C32,ListaScanner!A:A,0)),"OK","NÃO")</f>
        <v>NÃO</v>
      </c>
    </row>
    <row r="33" spans="1:6" x14ac:dyDescent="0.3">
      <c r="A33" s="2">
        <f t="shared" si="0"/>
        <v>46079</v>
      </c>
      <c r="B33" t="str">
        <f t="shared" si="1"/>
        <v>FO0603060006</v>
      </c>
      <c r="D33" t="str">
        <f>IFERROR(VLOOKUP(C33,FUNCIONARIOS!A:D,2,FALSE),"")</f>
        <v/>
      </c>
      <c r="E33" t="str">
        <f>IFERROR(VLOOKUP(C33,FUNCIONARIOS!A:D,3,FALSE),"")</f>
        <v/>
      </c>
      <c r="F33" t="str">
        <f>IF(ISNUMBER(MATCH(C33,ListaScanner!A:A,0)),"OK","NÃO")</f>
        <v>NÃO</v>
      </c>
    </row>
    <row r="34" spans="1:6" x14ac:dyDescent="0.3">
      <c r="A34" s="2">
        <f t="shared" si="0"/>
        <v>46079</v>
      </c>
      <c r="B34" t="str">
        <f t="shared" si="1"/>
        <v>FO0603060006</v>
      </c>
      <c r="D34" t="str">
        <f>IFERROR(VLOOKUP(C34,FUNCIONARIOS!A:D,2,FALSE),"")</f>
        <v/>
      </c>
      <c r="E34" t="str">
        <f>IFERROR(VLOOKUP(C34,FUNCIONARIOS!A:D,3,FALSE),"")</f>
        <v/>
      </c>
      <c r="F34" t="str">
        <f>IF(ISNUMBER(MATCH(C34,ListaScanner!A:A,0)),"OK","NÃO")</f>
        <v>NÃO</v>
      </c>
    </row>
    <row r="35" spans="1:6" x14ac:dyDescent="0.3">
      <c r="A35" s="2">
        <f t="shared" si="0"/>
        <v>46079</v>
      </c>
      <c r="B35" t="str">
        <f t="shared" si="1"/>
        <v>FO0603060006</v>
      </c>
      <c r="D35" t="str">
        <f>IFERROR(VLOOKUP(C35,FUNCIONARIOS!A:D,2,FALSE),"")</f>
        <v/>
      </c>
      <c r="E35" t="str">
        <f>IFERROR(VLOOKUP(C35,FUNCIONARIOS!A:D,3,FALSE),"")</f>
        <v/>
      </c>
      <c r="F35" t="str">
        <f>IF(ISNUMBER(MATCH(C35,ListaScanner!A:A,0)),"OK","NÃO")</f>
        <v>NÃO</v>
      </c>
    </row>
    <row r="36" spans="1:6" x14ac:dyDescent="0.3">
      <c r="A36" s="2">
        <f t="shared" si="0"/>
        <v>46079</v>
      </c>
      <c r="B36" t="str">
        <f t="shared" si="1"/>
        <v>FO0603060006</v>
      </c>
      <c r="D36" t="str">
        <f>IFERROR(VLOOKUP(C36,FUNCIONARIOS!A:D,2,FALSE),"")</f>
        <v/>
      </c>
      <c r="E36" t="str">
        <f>IFERROR(VLOOKUP(C36,FUNCIONARIOS!A:D,3,FALSE),"")</f>
        <v/>
      </c>
      <c r="F36" t="str">
        <f>IF(ISNUMBER(MATCH(C36,ListaScanner!A:A,0)),"OK","NÃO")</f>
        <v>NÃO</v>
      </c>
    </row>
    <row r="37" spans="1:6" x14ac:dyDescent="0.3">
      <c r="A37" s="2">
        <f t="shared" si="0"/>
        <v>46079</v>
      </c>
      <c r="B37" t="str">
        <f t="shared" si="1"/>
        <v>FO0603060006</v>
      </c>
      <c r="D37" t="str">
        <f>IFERROR(VLOOKUP(C37,FUNCIONARIOS!A:D,2,FALSE),"")</f>
        <v/>
      </c>
      <c r="E37" t="str">
        <f>IFERROR(VLOOKUP(C37,FUNCIONARIOS!A:D,3,FALSE),"")</f>
        <v/>
      </c>
      <c r="F37" t="str">
        <f>IF(ISNUMBER(MATCH(C37,ListaScanner!A:A,0)),"OK","NÃO")</f>
        <v>NÃO</v>
      </c>
    </row>
    <row r="38" spans="1:6" x14ac:dyDescent="0.3">
      <c r="A38" s="2">
        <f t="shared" si="0"/>
        <v>46079</v>
      </c>
      <c r="B38" t="str">
        <f t="shared" si="1"/>
        <v>FO0603060006</v>
      </c>
      <c r="D38" t="str">
        <f>IFERROR(VLOOKUP(C38,FUNCIONARIOS!A:D,2,FALSE),"")</f>
        <v/>
      </c>
      <c r="E38" t="str">
        <f>IFERROR(VLOOKUP(C38,FUNCIONARIOS!A:D,3,FALSE),"")</f>
        <v/>
      </c>
      <c r="F38" t="str">
        <f>IF(ISNUMBER(MATCH(C38,ListaScanner!A:A,0)),"OK","NÃO")</f>
        <v>NÃO</v>
      </c>
    </row>
    <row r="39" spans="1:6" x14ac:dyDescent="0.3">
      <c r="A39" s="2">
        <f t="shared" si="0"/>
        <v>46079</v>
      </c>
      <c r="B39" t="str">
        <f t="shared" si="1"/>
        <v>FO0603060006</v>
      </c>
      <c r="D39" t="str">
        <f>IFERROR(VLOOKUP(C39,FUNCIONARIOS!A:D,2,FALSE),"")</f>
        <v/>
      </c>
      <c r="E39" t="str">
        <f>IFERROR(VLOOKUP(C39,FUNCIONARIOS!A:D,3,FALSE),"")</f>
        <v/>
      </c>
      <c r="F39" t="str">
        <f>IF(ISNUMBER(MATCH(C39,ListaScanner!A:A,0)),"OK","NÃO")</f>
        <v>NÃO</v>
      </c>
    </row>
    <row r="40" spans="1:6" x14ac:dyDescent="0.3">
      <c r="A40" s="2">
        <f t="shared" si="0"/>
        <v>46079</v>
      </c>
      <c r="B40" t="str">
        <f t="shared" si="1"/>
        <v>FO0603060006</v>
      </c>
      <c r="D40" t="str">
        <f>IFERROR(VLOOKUP(C40,FUNCIONARIOS!A:D,2,FALSE),"")</f>
        <v/>
      </c>
      <c r="E40" t="str">
        <f>IFERROR(VLOOKUP(C40,FUNCIONARIOS!A:D,3,FALSE),"")</f>
        <v/>
      </c>
      <c r="F40" t="str">
        <f>IF(ISNUMBER(MATCH(C40,ListaScanner!A:A,0)),"OK","NÃO")</f>
        <v>NÃO</v>
      </c>
    </row>
    <row r="41" spans="1:6" x14ac:dyDescent="0.3">
      <c r="A41" s="2">
        <f t="shared" si="0"/>
        <v>46079</v>
      </c>
      <c r="B41" t="str">
        <f t="shared" si="1"/>
        <v>FO0603060006</v>
      </c>
      <c r="D41" t="str">
        <f>IFERROR(VLOOKUP(C41,FUNCIONARIOS!A:D,2,FALSE),"")</f>
        <v/>
      </c>
      <c r="E41" t="str">
        <f>IFERROR(VLOOKUP(C41,FUNCIONARIOS!A:D,3,FALSE),"")</f>
        <v/>
      </c>
      <c r="F41" t="str">
        <f>IF(ISNUMBER(MATCH(C41,ListaScanner!A:A,0)),"OK","NÃO")</f>
        <v>NÃO</v>
      </c>
    </row>
    <row r="42" spans="1:6" x14ac:dyDescent="0.3">
      <c r="A42" s="2">
        <f t="shared" si="0"/>
        <v>46079</v>
      </c>
      <c r="B42" t="str">
        <f t="shared" si="1"/>
        <v>FO0603060006</v>
      </c>
      <c r="D42" t="str">
        <f>IFERROR(VLOOKUP(C42,FUNCIONARIOS!A:D,2,FALSE),"")</f>
        <v/>
      </c>
      <c r="E42" t="str">
        <f>IFERROR(VLOOKUP(C42,FUNCIONARIOS!A:D,3,FALSE),"")</f>
        <v/>
      </c>
      <c r="F42" t="str">
        <f>IF(ISNUMBER(MATCH(C42,ListaScanner!A:A,0)),"OK","NÃO")</f>
        <v>NÃO</v>
      </c>
    </row>
    <row r="43" spans="1:6" x14ac:dyDescent="0.3">
      <c r="A43" s="2">
        <f t="shared" si="0"/>
        <v>46079</v>
      </c>
      <c r="B43" t="str">
        <f t="shared" si="1"/>
        <v>FO0603060006</v>
      </c>
      <c r="D43" t="str">
        <f>IFERROR(VLOOKUP(C43,FUNCIONARIOS!A:D,2,FALSE),"")</f>
        <v/>
      </c>
      <c r="E43" t="str">
        <f>IFERROR(VLOOKUP(C43,FUNCIONARIOS!A:D,3,FALSE),"")</f>
        <v/>
      </c>
      <c r="F43" t="str">
        <f>IF(ISNUMBER(MATCH(C43,ListaScanner!A:A,0)),"OK","NÃO")</f>
        <v>NÃO</v>
      </c>
    </row>
    <row r="44" spans="1:6" x14ac:dyDescent="0.3">
      <c r="A44" s="2">
        <f t="shared" si="0"/>
        <v>46079</v>
      </c>
      <c r="B44" t="str">
        <f t="shared" si="1"/>
        <v>FO0603060006</v>
      </c>
      <c r="D44" t="str">
        <f>IFERROR(VLOOKUP(C44,FUNCIONARIOS!A:D,2,FALSE),"")</f>
        <v/>
      </c>
      <c r="E44" t="str">
        <f>IFERROR(VLOOKUP(C44,FUNCIONARIOS!A:D,3,FALSE),"")</f>
        <v/>
      </c>
      <c r="F44" t="str">
        <f>IF(ISNUMBER(MATCH(C44,ListaScanner!A:A,0)),"OK","NÃO")</f>
        <v>NÃO</v>
      </c>
    </row>
    <row r="45" spans="1:6" x14ac:dyDescent="0.3">
      <c r="A45" s="2">
        <f t="shared" si="0"/>
        <v>46079</v>
      </c>
      <c r="B45" t="str">
        <f t="shared" si="1"/>
        <v>FO0603060006</v>
      </c>
      <c r="D45" t="str">
        <f>IFERROR(VLOOKUP(C45,FUNCIONARIOS!A:D,2,FALSE),"")</f>
        <v/>
      </c>
      <c r="E45" t="str">
        <f>IFERROR(VLOOKUP(C45,FUNCIONARIOS!A:D,3,FALSE),"")</f>
        <v/>
      </c>
      <c r="F45" t="str">
        <f>IF(ISNUMBER(MATCH(C45,ListaScanner!A:A,0)),"OK","NÃO")</f>
        <v>NÃO</v>
      </c>
    </row>
    <row r="46" spans="1:6" x14ac:dyDescent="0.3">
      <c r="A46" s="2">
        <f t="shared" si="0"/>
        <v>46079</v>
      </c>
      <c r="B46" t="str">
        <f t="shared" si="1"/>
        <v>FO0603060006</v>
      </c>
      <c r="D46" t="str">
        <f>IFERROR(VLOOKUP(C46,FUNCIONARIOS!A:D,2,FALSE),"")</f>
        <v/>
      </c>
      <c r="E46" t="str">
        <f>IFERROR(VLOOKUP(C46,FUNCIONARIOS!A:D,3,FALSE),"")</f>
        <v/>
      </c>
      <c r="F46" t="str">
        <f>IF(ISNUMBER(MATCH(C46,ListaScanner!A:A,0)),"OK","NÃO")</f>
        <v>NÃO</v>
      </c>
    </row>
    <row r="47" spans="1:6" x14ac:dyDescent="0.3">
      <c r="A47" s="2">
        <f t="shared" si="0"/>
        <v>46079</v>
      </c>
      <c r="B47" t="str">
        <f t="shared" si="1"/>
        <v>FO0603060006</v>
      </c>
      <c r="D47" t="str">
        <f>IFERROR(VLOOKUP(C47,FUNCIONARIOS!A:D,2,FALSE),"")</f>
        <v/>
      </c>
      <c r="E47" t="str">
        <f>IFERROR(VLOOKUP(C47,FUNCIONARIOS!A:D,3,FALSE),"")</f>
        <v/>
      </c>
      <c r="F47" t="str">
        <f>IF(ISNUMBER(MATCH(C47,ListaScanner!A:A,0)),"OK","NÃO")</f>
        <v>NÃO</v>
      </c>
    </row>
    <row r="48" spans="1:6" x14ac:dyDescent="0.3">
      <c r="A48" s="2">
        <f t="shared" si="0"/>
        <v>46079</v>
      </c>
      <c r="B48" t="str">
        <f t="shared" si="1"/>
        <v>FO0603060006</v>
      </c>
      <c r="D48" t="str">
        <f>IFERROR(VLOOKUP(C48,FUNCIONARIOS!A:D,2,FALSE),"")</f>
        <v/>
      </c>
      <c r="E48" t="str">
        <f>IFERROR(VLOOKUP(C48,FUNCIONARIOS!A:D,3,FALSE),"")</f>
        <v/>
      </c>
      <c r="F48" t="str">
        <f>IF(ISNUMBER(MATCH(C48,ListaScanner!A:A,0)),"OK","NÃO")</f>
        <v>NÃO</v>
      </c>
    </row>
    <row r="49" spans="1:6" x14ac:dyDescent="0.3">
      <c r="A49" s="2">
        <f t="shared" si="0"/>
        <v>46079</v>
      </c>
      <c r="B49" t="str">
        <f t="shared" si="1"/>
        <v>FO0603060006</v>
      </c>
      <c r="D49" t="str">
        <f>IFERROR(VLOOKUP(C49,FUNCIONARIOS!A:D,2,FALSE),"")</f>
        <v/>
      </c>
      <c r="E49" t="str">
        <f>IFERROR(VLOOKUP(C49,FUNCIONARIOS!A:D,3,FALSE),"")</f>
        <v/>
      </c>
      <c r="F49" t="str">
        <f>IF(ISNUMBER(MATCH(C49,ListaScanner!A:A,0)),"OK","NÃO")</f>
        <v>NÃO</v>
      </c>
    </row>
    <row r="50" spans="1:6" x14ac:dyDescent="0.3">
      <c r="A50" s="2">
        <f t="shared" si="0"/>
        <v>46079</v>
      </c>
      <c r="B50" t="str">
        <f t="shared" si="1"/>
        <v>FO0603060006</v>
      </c>
      <c r="D50" t="str">
        <f>IFERROR(VLOOKUP(C50,FUNCIONARIOS!A:D,2,FALSE),"")</f>
        <v/>
      </c>
      <c r="E50" t="str">
        <f>IFERROR(VLOOKUP(C50,FUNCIONARIOS!A:D,3,FALSE),"")</f>
        <v/>
      </c>
      <c r="F50" t="str">
        <f>IF(ISNUMBER(MATCH(C50,ListaScanner!A:A,0)),"OK","NÃO")</f>
        <v>NÃO</v>
      </c>
    </row>
    <row r="51" spans="1:6" x14ac:dyDescent="0.3">
      <c r="A51" s="2">
        <f t="shared" si="0"/>
        <v>46079</v>
      </c>
      <c r="B51" t="str">
        <f t="shared" si="1"/>
        <v>FO0603060006</v>
      </c>
      <c r="D51" t="str">
        <f>IFERROR(VLOOKUP(C51,FUNCIONARIOS!A:D,2,FALSE),"")</f>
        <v/>
      </c>
      <c r="E51" t="str">
        <f>IFERROR(VLOOKUP(C51,FUNCIONARIOS!A:D,3,FALSE),"")</f>
        <v/>
      </c>
      <c r="F51" t="str">
        <f>IF(ISNUMBER(MATCH(C51,ListaScanner!A:A,0)),"OK","NÃO")</f>
        <v>NÃO</v>
      </c>
    </row>
    <row r="52" spans="1:6" x14ac:dyDescent="0.3">
      <c r="A52" s="2">
        <f t="shared" si="0"/>
        <v>46079</v>
      </c>
      <c r="B52" t="str">
        <f t="shared" si="1"/>
        <v>FO0603060006</v>
      </c>
      <c r="D52" t="str">
        <f>IFERROR(VLOOKUP(C52,FUNCIONARIOS!A:D,2,FALSE),"")</f>
        <v/>
      </c>
      <c r="E52" t="str">
        <f>IFERROR(VLOOKUP(C52,FUNCIONARIOS!A:D,3,FALSE),"")</f>
        <v/>
      </c>
      <c r="F52" t="str">
        <f>IF(ISNUMBER(MATCH(C52,ListaScanner!A:A,0)),"OK","NÃO")</f>
        <v>NÃO</v>
      </c>
    </row>
    <row r="53" spans="1:6" x14ac:dyDescent="0.3">
      <c r="A53" s="2">
        <f t="shared" si="0"/>
        <v>46079</v>
      </c>
      <c r="B53" t="str">
        <f t="shared" si="1"/>
        <v>FO0603060006</v>
      </c>
      <c r="D53" t="str">
        <f>IFERROR(VLOOKUP(C53,FUNCIONARIOS!A:D,2,FALSE),"")</f>
        <v/>
      </c>
      <c r="E53" t="str">
        <f>IFERROR(VLOOKUP(C53,FUNCIONARIOS!A:D,3,FALSE),"")</f>
        <v/>
      </c>
      <c r="F53" t="str">
        <f>IF(ISNUMBER(MATCH(C53,ListaScanner!A:A,0)),"OK","NÃO")</f>
        <v>NÃO</v>
      </c>
    </row>
    <row r="54" spans="1:6" x14ac:dyDescent="0.3">
      <c r="A54" s="2">
        <f t="shared" si="0"/>
        <v>46079</v>
      </c>
      <c r="B54" t="str">
        <f t="shared" si="1"/>
        <v>FO0603060006</v>
      </c>
      <c r="D54" t="str">
        <f>IFERROR(VLOOKUP(C54,FUNCIONARIOS!A:D,2,FALSE),"")</f>
        <v/>
      </c>
      <c r="E54" t="str">
        <f>IFERROR(VLOOKUP(C54,FUNCIONARIOS!A:D,3,FALSE),"")</f>
        <v/>
      </c>
      <c r="F54" t="str">
        <f>IF(ISNUMBER(MATCH(C54,ListaScanner!A:A,0)),"OK","NÃO")</f>
        <v>NÃO</v>
      </c>
    </row>
    <row r="55" spans="1:6" x14ac:dyDescent="0.3">
      <c r="A55" s="2">
        <f t="shared" si="0"/>
        <v>46079</v>
      </c>
      <c r="B55" t="str">
        <f t="shared" si="1"/>
        <v>FO0603060006</v>
      </c>
      <c r="D55" t="str">
        <f>IFERROR(VLOOKUP(C55,FUNCIONARIOS!A:D,2,FALSE),"")</f>
        <v/>
      </c>
      <c r="E55" t="str">
        <f>IFERROR(VLOOKUP(C55,FUNCIONARIOS!A:D,3,FALSE),"")</f>
        <v/>
      </c>
      <c r="F55" t="str">
        <f>IF(ISNUMBER(MATCH(C55,ListaScanner!A:A,0)),"OK","NÃO")</f>
        <v>NÃO</v>
      </c>
    </row>
    <row r="56" spans="1:6" x14ac:dyDescent="0.3">
      <c r="A56" s="2">
        <f t="shared" si="0"/>
        <v>46079</v>
      </c>
      <c r="B56" t="str">
        <f t="shared" si="1"/>
        <v>FO0603060006</v>
      </c>
      <c r="D56" t="str">
        <f>IFERROR(VLOOKUP(C56,FUNCIONARIOS!A:D,2,FALSE),"")</f>
        <v/>
      </c>
      <c r="E56" t="str">
        <f>IFERROR(VLOOKUP(C56,FUNCIONARIOS!A:D,3,FALSE),"")</f>
        <v/>
      </c>
      <c r="F56" t="str">
        <f>IF(ISNUMBER(MATCH(C56,ListaScanner!A:A,0)),"OK","NÃO")</f>
        <v>NÃO</v>
      </c>
    </row>
    <row r="57" spans="1:6" x14ac:dyDescent="0.3">
      <c r="A57" s="2">
        <f t="shared" si="0"/>
        <v>46079</v>
      </c>
      <c r="B57" t="str">
        <f t="shared" si="1"/>
        <v>FO0603060006</v>
      </c>
      <c r="D57" t="str">
        <f>IFERROR(VLOOKUP(C57,FUNCIONARIOS!A:D,2,FALSE),"")</f>
        <v/>
      </c>
      <c r="E57" t="str">
        <f>IFERROR(VLOOKUP(C57,FUNCIONARIOS!A:D,3,FALSE),"")</f>
        <v/>
      </c>
      <c r="F57" t="str">
        <f>IF(ISNUMBER(MATCH(C57,ListaScanner!A:A,0)),"OK","NÃO")</f>
        <v>NÃO</v>
      </c>
    </row>
    <row r="58" spans="1:6" x14ac:dyDescent="0.3">
      <c r="A58" s="2">
        <f t="shared" si="0"/>
        <v>46079</v>
      </c>
      <c r="B58" t="str">
        <f t="shared" si="1"/>
        <v>FO0603060006</v>
      </c>
      <c r="D58" t="str">
        <f>IFERROR(VLOOKUP(C58,FUNCIONARIOS!A:D,2,FALSE),"")</f>
        <v/>
      </c>
      <c r="E58" t="str">
        <f>IFERROR(VLOOKUP(C58,FUNCIONARIOS!A:D,3,FALSE),"")</f>
        <v/>
      </c>
      <c r="F58" t="str">
        <f>IF(ISNUMBER(MATCH(C58,ListaScanner!A:A,0)),"OK","NÃO")</f>
        <v>NÃO</v>
      </c>
    </row>
    <row r="59" spans="1:6" x14ac:dyDescent="0.3">
      <c r="A59" s="2">
        <f t="shared" si="0"/>
        <v>46079</v>
      </c>
      <c r="B59" t="str">
        <f t="shared" si="1"/>
        <v>FO0603060006</v>
      </c>
      <c r="D59" t="str">
        <f>IFERROR(VLOOKUP(C59,FUNCIONARIOS!A:D,2,FALSE),"")</f>
        <v/>
      </c>
      <c r="E59" t="str">
        <f>IFERROR(VLOOKUP(C59,FUNCIONARIOS!A:D,3,FALSE),"")</f>
        <v/>
      </c>
      <c r="F59" t="str">
        <f>IF(ISNUMBER(MATCH(C59,ListaScanner!A:A,0)),"OK","NÃO")</f>
        <v>NÃO</v>
      </c>
    </row>
    <row r="60" spans="1:6" x14ac:dyDescent="0.3">
      <c r="A60" s="2">
        <f t="shared" si="0"/>
        <v>46079</v>
      </c>
      <c r="B60" t="str">
        <f t="shared" si="1"/>
        <v>FO0603060006</v>
      </c>
      <c r="D60" t="str">
        <f>IFERROR(VLOOKUP(C60,FUNCIONARIOS!A:D,2,FALSE),"")</f>
        <v/>
      </c>
      <c r="E60" t="str">
        <f>IFERROR(VLOOKUP(C60,FUNCIONARIOS!A:D,3,FALSE),"")</f>
        <v/>
      </c>
      <c r="F60" t="str">
        <f>IF(ISNUMBER(MATCH(C60,ListaScanner!A:A,0)),"OK","NÃO")</f>
        <v>NÃO</v>
      </c>
    </row>
    <row r="61" spans="1:6" x14ac:dyDescent="0.3">
      <c r="A61" s="2">
        <f t="shared" si="0"/>
        <v>46079</v>
      </c>
      <c r="B61" t="str">
        <f t="shared" si="1"/>
        <v>FO0603060006</v>
      </c>
      <c r="D61" t="str">
        <f>IFERROR(VLOOKUP(C61,FUNCIONARIOS!A:D,2,FALSE),"")</f>
        <v/>
      </c>
      <c r="E61" t="str">
        <f>IFERROR(VLOOKUP(C61,FUNCIONARIOS!A:D,3,FALSE),"")</f>
        <v/>
      </c>
      <c r="F61" t="str">
        <f>IF(ISNUMBER(MATCH(C61,ListaScanner!A:A,0)),"OK","NÃO")</f>
        <v>NÃO</v>
      </c>
    </row>
    <row r="62" spans="1:6" x14ac:dyDescent="0.3">
      <c r="A62" s="2">
        <f t="shared" si="0"/>
        <v>46079</v>
      </c>
      <c r="B62" t="str">
        <f t="shared" si="1"/>
        <v>FO0603060006</v>
      </c>
      <c r="D62" t="str">
        <f>IFERROR(VLOOKUP(C62,FUNCIONARIOS!A:D,2,FALSE),"")</f>
        <v/>
      </c>
      <c r="E62" t="str">
        <f>IFERROR(VLOOKUP(C62,FUNCIONARIOS!A:D,3,FALSE),"")</f>
        <v/>
      </c>
      <c r="F62" t="str">
        <f>IF(ISNUMBER(MATCH(C62,ListaScanner!A:A,0)),"OK","NÃO")</f>
        <v>NÃO</v>
      </c>
    </row>
    <row r="63" spans="1:6" x14ac:dyDescent="0.3">
      <c r="A63" s="2">
        <f t="shared" si="0"/>
        <v>46079</v>
      </c>
      <c r="B63" t="str">
        <f t="shared" si="1"/>
        <v>FO0603060006</v>
      </c>
      <c r="D63" t="str">
        <f>IFERROR(VLOOKUP(C63,FUNCIONARIOS!A:D,2,FALSE),"")</f>
        <v/>
      </c>
      <c r="E63" t="str">
        <f>IFERROR(VLOOKUP(C63,FUNCIONARIOS!A:D,3,FALSE),"")</f>
        <v/>
      </c>
      <c r="F63" t="str">
        <f>IF(ISNUMBER(MATCH(C63,ListaScanner!A:A,0)),"OK","NÃO")</f>
        <v>NÃO</v>
      </c>
    </row>
    <row r="64" spans="1:6" x14ac:dyDescent="0.3">
      <c r="A64" s="2">
        <f t="shared" si="0"/>
        <v>46079</v>
      </c>
      <c r="B64" t="str">
        <f t="shared" si="1"/>
        <v>FO0603060006</v>
      </c>
      <c r="D64" t="str">
        <f>IFERROR(VLOOKUP(C64,FUNCIONARIOS!A:D,2,FALSE),"")</f>
        <v/>
      </c>
      <c r="E64" t="str">
        <f>IFERROR(VLOOKUP(C64,FUNCIONARIOS!A:D,3,FALSE),"")</f>
        <v/>
      </c>
      <c r="F64" t="str">
        <f>IF(ISNUMBER(MATCH(C64,ListaScanner!A:A,0)),"OK","NÃO")</f>
        <v>NÃO</v>
      </c>
    </row>
    <row r="65" spans="1:6" x14ac:dyDescent="0.3">
      <c r="A65" s="2">
        <f t="shared" si="0"/>
        <v>46079</v>
      </c>
      <c r="B65" t="str">
        <f t="shared" si="1"/>
        <v>FO0603060006</v>
      </c>
      <c r="D65" t="str">
        <f>IFERROR(VLOOKUP(C65,FUNCIONARIOS!A:D,2,FALSE),"")</f>
        <v/>
      </c>
      <c r="E65" t="str">
        <f>IFERROR(VLOOKUP(C65,FUNCIONARIOS!A:D,3,FALSE),"")</f>
        <v/>
      </c>
      <c r="F65" t="str">
        <f>IF(ISNUMBER(MATCH(C65,ListaScanner!A:A,0)),"OK","NÃO")</f>
        <v>NÃO</v>
      </c>
    </row>
    <row r="66" spans="1:6" x14ac:dyDescent="0.3">
      <c r="A66" s="2">
        <f t="shared" si="0"/>
        <v>46079</v>
      </c>
      <c r="B66" t="str">
        <f t="shared" si="1"/>
        <v>FO0603060006</v>
      </c>
      <c r="D66" t="str">
        <f>IFERROR(VLOOKUP(C66,FUNCIONARIOS!A:D,2,FALSE),"")</f>
        <v/>
      </c>
      <c r="E66" t="str">
        <f>IFERROR(VLOOKUP(C66,FUNCIONARIOS!A:D,3,FALSE),"")</f>
        <v/>
      </c>
      <c r="F66" t="str">
        <f>IF(ISNUMBER(MATCH(C66,ListaScanner!A:A,0)),"OK","NÃO")</f>
        <v>NÃO</v>
      </c>
    </row>
    <row r="67" spans="1:6" x14ac:dyDescent="0.3">
      <c r="A67" s="2">
        <f t="shared" si="0"/>
        <v>46079</v>
      </c>
      <c r="B67" t="str">
        <f t="shared" si="1"/>
        <v>FO0603060006</v>
      </c>
      <c r="D67" t="str">
        <f>IFERROR(VLOOKUP(C67,FUNCIONARIOS!A:D,2,FALSE),"")</f>
        <v/>
      </c>
      <c r="E67" t="str">
        <f>IFERROR(VLOOKUP(C67,FUNCIONARIOS!A:D,3,FALSE),"")</f>
        <v/>
      </c>
      <c r="F67" t="str">
        <f>IF(ISNUMBER(MATCH(C67,ListaScanner!A:A,0)),"OK","NÃO")</f>
        <v>NÃO</v>
      </c>
    </row>
    <row r="68" spans="1:6" x14ac:dyDescent="0.3">
      <c r="A68" s="2">
        <f t="shared" si="0"/>
        <v>46079</v>
      </c>
      <c r="B68" t="str">
        <f t="shared" si="1"/>
        <v>FO0603060006</v>
      </c>
      <c r="D68" t="str">
        <f>IFERROR(VLOOKUP(C68,FUNCIONARIOS!A:D,2,FALSE),"")</f>
        <v/>
      </c>
      <c r="E68" t="str">
        <f>IFERROR(VLOOKUP(C68,FUNCIONARIOS!A:D,3,FALSE),"")</f>
        <v/>
      </c>
      <c r="F68" t="str">
        <f>IF(ISNUMBER(MATCH(C68,ListaScanner!A:A,0)),"OK","NÃO")</f>
        <v>NÃO</v>
      </c>
    </row>
    <row r="69" spans="1:6" x14ac:dyDescent="0.3">
      <c r="A69" s="2">
        <f t="shared" si="0"/>
        <v>46079</v>
      </c>
      <c r="B69" t="str">
        <f t="shared" si="1"/>
        <v>FO0603060006</v>
      </c>
      <c r="D69" t="str">
        <f>IFERROR(VLOOKUP(C69,FUNCIONARIOS!A:D,2,FALSE),"")</f>
        <v/>
      </c>
      <c r="E69" t="str">
        <f>IFERROR(VLOOKUP(C69,FUNCIONARIOS!A:D,3,FALSE),"")</f>
        <v/>
      </c>
      <c r="F69" t="str">
        <f>IF(ISNUMBER(MATCH(C69,ListaScanner!A:A,0)),"OK","NÃO")</f>
        <v>NÃO</v>
      </c>
    </row>
    <row r="70" spans="1:6" x14ac:dyDescent="0.3">
      <c r="A70" s="2">
        <f t="shared" ref="A70:A133" si="2">$C$1</f>
        <v>46079</v>
      </c>
      <c r="B70" t="str">
        <f t="shared" ref="B70:B133" si="3">$C$2</f>
        <v>FO0603060006</v>
      </c>
      <c r="D70" t="str">
        <f>IFERROR(VLOOKUP(C70,FUNCIONARIOS!A:D,2,FALSE),"")</f>
        <v/>
      </c>
      <c r="E70" t="str">
        <f>IFERROR(VLOOKUP(C70,FUNCIONARIOS!A:D,3,FALSE),"")</f>
        <v/>
      </c>
      <c r="F70" t="str">
        <f>IF(ISNUMBER(MATCH(C70,ListaScanner!A:A,0)),"OK","NÃO")</f>
        <v>NÃO</v>
      </c>
    </row>
    <row r="71" spans="1:6" x14ac:dyDescent="0.3">
      <c r="A71" s="2">
        <f t="shared" si="2"/>
        <v>46079</v>
      </c>
      <c r="B71" t="str">
        <f t="shared" si="3"/>
        <v>FO0603060006</v>
      </c>
      <c r="D71" t="str">
        <f>IFERROR(VLOOKUP(C71,FUNCIONARIOS!A:D,2,FALSE),"")</f>
        <v/>
      </c>
      <c r="E71" t="str">
        <f>IFERROR(VLOOKUP(C71,FUNCIONARIOS!A:D,3,FALSE),"")</f>
        <v/>
      </c>
      <c r="F71" t="str">
        <f>IF(ISNUMBER(MATCH(C71,ListaScanner!A:A,0)),"OK","NÃO")</f>
        <v>NÃO</v>
      </c>
    </row>
    <row r="72" spans="1:6" x14ac:dyDescent="0.3">
      <c r="A72" s="2">
        <f t="shared" si="2"/>
        <v>46079</v>
      </c>
      <c r="B72" t="str">
        <f t="shared" si="3"/>
        <v>FO0603060006</v>
      </c>
      <c r="D72" t="str">
        <f>IFERROR(VLOOKUP(C72,FUNCIONARIOS!A:D,2,FALSE),"")</f>
        <v/>
      </c>
      <c r="E72" t="str">
        <f>IFERROR(VLOOKUP(C72,FUNCIONARIOS!A:D,3,FALSE),"")</f>
        <v/>
      </c>
      <c r="F72" t="str">
        <f>IF(ISNUMBER(MATCH(C72,ListaScanner!A:A,0)),"OK","NÃO")</f>
        <v>NÃO</v>
      </c>
    </row>
    <row r="73" spans="1:6" x14ac:dyDescent="0.3">
      <c r="A73" s="2">
        <f t="shared" si="2"/>
        <v>46079</v>
      </c>
      <c r="B73" t="str">
        <f t="shared" si="3"/>
        <v>FO0603060006</v>
      </c>
      <c r="D73" t="str">
        <f>IFERROR(VLOOKUP(C73,FUNCIONARIOS!A:D,2,FALSE),"")</f>
        <v/>
      </c>
      <c r="E73" t="str">
        <f>IFERROR(VLOOKUP(C73,FUNCIONARIOS!A:D,3,FALSE),"")</f>
        <v/>
      </c>
      <c r="F73" t="str">
        <f>IF(ISNUMBER(MATCH(C73,ListaScanner!A:A,0)),"OK","NÃO")</f>
        <v>NÃO</v>
      </c>
    </row>
    <row r="74" spans="1:6" x14ac:dyDescent="0.3">
      <c r="A74" s="2">
        <f t="shared" si="2"/>
        <v>46079</v>
      </c>
      <c r="B74" t="str">
        <f t="shared" si="3"/>
        <v>FO0603060006</v>
      </c>
      <c r="D74" t="str">
        <f>IFERROR(VLOOKUP(C74,FUNCIONARIOS!A:D,2,FALSE),"")</f>
        <v/>
      </c>
      <c r="E74" t="str">
        <f>IFERROR(VLOOKUP(C74,FUNCIONARIOS!A:D,3,FALSE),"")</f>
        <v/>
      </c>
      <c r="F74" t="str">
        <f>IF(ISNUMBER(MATCH(C74,ListaScanner!A:A,0)),"OK","NÃO")</f>
        <v>NÃO</v>
      </c>
    </row>
    <row r="75" spans="1:6" x14ac:dyDescent="0.3">
      <c r="A75" s="2">
        <f t="shared" si="2"/>
        <v>46079</v>
      </c>
      <c r="B75" t="str">
        <f t="shared" si="3"/>
        <v>FO0603060006</v>
      </c>
      <c r="D75" t="str">
        <f>IFERROR(VLOOKUP(C75,FUNCIONARIOS!A:D,2,FALSE),"")</f>
        <v/>
      </c>
      <c r="E75" t="str">
        <f>IFERROR(VLOOKUP(C75,FUNCIONARIOS!A:D,3,FALSE),"")</f>
        <v/>
      </c>
      <c r="F75" t="str">
        <f>IF(ISNUMBER(MATCH(C75,ListaScanner!A:A,0)),"OK","NÃO")</f>
        <v>NÃO</v>
      </c>
    </row>
    <row r="76" spans="1:6" x14ac:dyDescent="0.3">
      <c r="A76" s="2">
        <f t="shared" si="2"/>
        <v>46079</v>
      </c>
      <c r="B76" t="str">
        <f t="shared" si="3"/>
        <v>FO0603060006</v>
      </c>
      <c r="D76" t="str">
        <f>IFERROR(VLOOKUP(C76,FUNCIONARIOS!A:D,2,FALSE),"")</f>
        <v/>
      </c>
      <c r="E76" t="str">
        <f>IFERROR(VLOOKUP(C76,FUNCIONARIOS!A:D,3,FALSE),"")</f>
        <v/>
      </c>
      <c r="F76" t="str">
        <f>IF(ISNUMBER(MATCH(C76,ListaScanner!A:A,0)),"OK","NÃO")</f>
        <v>NÃO</v>
      </c>
    </row>
    <row r="77" spans="1:6" x14ac:dyDescent="0.3">
      <c r="A77" s="2">
        <f t="shared" si="2"/>
        <v>46079</v>
      </c>
      <c r="B77" t="str">
        <f t="shared" si="3"/>
        <v>FO0603060006</v>
      </c>
      <c r="D77" t="str">
        <f>IFERROR(VLOOKUP(C77,FUNCIONARIOS!A:D,2,FALSE),"")</f>
        <v/>
      </c>
      <c r="E77" t="str">
        <f>IFERROR(VLOOKUP(C77,FUNCIONARIOS!A:D,3,FALSE),"")</f>
        <v/>
      </c>
      <c r="F77" t="str">
        <f>IF(ISNUMBER(MATCH(C77,ListaScanner!A:A,0)),"OK","NÃO")</f>
        <v>NÃO</v>
      </c>
    </row>
    <row r="78" spans="1:6" x14ac:dyDescent="0.3">
      <c r="A78" s="2">
        <f t="shared" si="2"/>
        <v>46079</v>
      </c>
      <c r="B78" t="str">
        <f t="shared" si="3"/>
        <v>FO0603060006</v>
      </c>
      <c r="D78" t="str">
        <f>IFERROR(VLOOKUP(C78,FUNCIONARIOS!A:D,2,FALSE),"")</f>
        <v/>
      </c>
      <c r="E78" t="str">
        <f>IFERROR(VLOOKUP(C78,FUNCIONARIOS!A:D,3,FALSE),"")</f>
        <v/>
      </c>
      <c r="F78" t="str">
        <f>IF(ISNUMBER(MATCH(C78,ListaScanner!A:A,0)),"OK","NÃO")</f>
        <v>NÃO</v>
      </c>
    </row>
    <row r="79" spans="1:6" x14ac:dyDescent="0.3">
      <c r="A79" s="2">
        <f t="shared" si="2"/>
        <v>46079</v>
      </c>
      <c r="B79" t="str">
        <f t="shared" si="3"/>
        <v>FO0603060006</v>
      </c>
      <c r="D79" t="str">
        <f>IFERROR(VLOOKUP(C79,FUNCIONARIOS!A:D,2,FALSE),"")</f>
        <v/>
      </c>
      <c r="E79" t="str">
        <f>IFERROR(VLOOKUP(C79,FUNCIONARIOS!A:D,3,FALSE),"")</f>
        <v/>
      </c>
      <c r="F79" t="str">
        <f>IF(ISNUMBER(MATCH(C79,ListaScanner!A:A,0)),"OK","NÃO")</f>
        <v>NÃO</v>
      </c>
    </row>
    <row r="80" spans="1:6" x14ac:dyDescent="0.3">
      <c r="A80" s="2">
        <f t="shared" si="2"/>
        <v>46079</v>
      </c>
      <c r="B80" t="str">
        <f t="shared" si="3"/>
        <v>FO0603060006</v>
      </c>
      <c r="D80" t="str">
        <f>IFERROR(VLOOKUP(C80,FUNCIONARIOS!A:D,2,FALSE),"")</f>
        <v/>
      </c>
      <c r="E80" t="str">
        <f>IFERROR(VLOOKUP(C80,FUNCIONARIOS!A:D,3,FALSE),"")</f>
        <v/>
      </c>
      <c r="F80" t="str">
        <f>IF(ISNUMBER(MATCH(C80,ListaScanner!A:A,0)),"OK","NÃO")</f>
        <v>NÃO</v>
      </c>
    </row>
    <row r="81" spans="1:6" x14ac:dyDescent="0.3">
      <c r="A81" s="2">
        <f t="shared" si="2"/>
        <v>46079</v>
      </c>
      <c r="B81" t="str">
        <f t="shared" si="3"/>
        <v>FO0603060006</v>
      </c>
      <c r="D81" t="str">
        <f>IFERROR(VLOOKUP(C81,FUNCIONARIOS!A:D,2,FALSE),"")</f>
        <v/>
      </c>
      <c r="E81" t="str">
        <f>IFERROR(VLOOKUP(C81,FUNCIONARIOS!A:D,3,FALSE),"")</f>
        <v/>
      </c>
      <c r="F81" t="str">
        <f>IF(ISNUMBER(MATCH(C81,ListaScanner!A:A,0)),"OK","NÃO")</f>
        <v>NÃO</v>
      </c>
    </row>
    <row r="82" spans="1:6" x14ac:dyDescent="0.3">
      <c r="A82" s="2">
        <f t="shared" si="2"/>
        <v>46079</v>
      </c>
      <c r="B82" t="str">
        <f t="shared" si="3"/>
        <v>FO0603060006</v>
      </c>
      <c r="D82" t="str">
        <f>IFERROR(VLOOKUP(C82,FUNCIONARIOS!A:D,2,FALSE),"")</f>
        <v/>
      </c>
      <c r="E82" t="str">
        <f>IFERROR(VLOOKUP(C82,FUNCIONARIOS!A:D,3,FALSE),"")</f>
        <v/>
      </c>
      <c r="F82" t="str">
        <f>IF(ISNUMBER(MATCH(C82,ListaScanner!A:A,0)),"OK","NÃO")</f>
        <v>NÃO</v>
      </c>
    </row>
    <row r="83" spans="1:6" x14ac:dyDescent="0.3">
      <c r="A83" s="2">
        <f t="shared" si="2"/>
        <v>46079</v>
      </c>
      <c r="B83" t="str">
        <f t="shared" si="3"/>
        <v>FO0603060006</v>
      </c>
      <c r="D83" t="str">
        <f>IFERROR(VLOOKUP(C83,FUNCIONARIOS!A:D,2,FALSE),"")</f>
        <v/>
      </c>
      <c r="E83" t="str">
        <f>IFERROR(VLOOKUP(C83,FUNCIONARIOS!A:D,3,FALSE),"")</f>
        <v/>
      </c>
      <c r="F83" t="str">
        <f>IF(ISNUMBER(MATCH(C83,ListaScanner!A:A,0)),"OK","NÃO")</f>
        <v>NÃO</v>
      </c>
    </row>
    <row r="84" spans="1:6" x14ac:dyDescent="0.3">
      <c r="A84" s="2">
        <f t="shared" si="2"/>
        <v>46079</v>
      </c>
      <c r="B84" t="str">
        <f t="shared" si="3"/>
        <v>FO0603060006</v>
      </c>
      <c r="D84" t="str">
        <f>IFERROR(VLOOKUP(C84,FUNCIONARIOS!A:D,2,FALSE),"")</f>
        <v/>
      </c>
      <c r="E84" t="str">
        <f>IFERROR(VLOOKUP(C84,FUNCIONARIOS!A:D,3,FALSE),"")</f>
        <v/>
      </c>
      <c r="F84" t="str">
        <f>IF(ISNUMBER(MATCH(C84,ListaScanner!A:A,0)),"OK","NÃO")</f>
        <v>NÃO</v>
      </c>
    </row>
    <row r="85" spans="1:6" x14ac:dyDescent="0.3">
      <c r="A85" s="2">
        <f t="shared" si="2"/>
        <v>46079</v>
      </c>
      <c r="B85" t="str">
        <f t="shared" si="3"/>
        <v>FO0603060006</v>
      </c>
      <c r="D85" t="str">
        <f>IFERROR(VLOOKUP(C85,FUNCIONARIOS!A:D,2,FALSE),"")</f>
        <v/>
      </c>
      <c r="E85" t="str">
        <f>IFERROR(VLOOKUP(C85,FUNCIONARIOS!A:D,3,FALSE),"")</f>
        <v/>
      </c>
      <c r="F85" t="str">
        <f>IF(ISNUMBER(MATCH(C85,ListaScanner!A:A,0)),"OK","NÃO")</f>
        <v>NÃO</v>
      </c>
    </row>
    <row r="86" spans="1:6" x14ac:dyDescent="0.3">
      <c r="A86" s="2">
        <f t="shared" si="2"/>
        <v>46079</v>
      </c>
      <c r="B86" t="str">
        <f t="shared" si="3"/>
        <v>FO0603060006</v>
      </c>
      <c r="D86" t="str">
        <f>IFERROR(VLOOKUP(C86,FUNCIONARIOS!A:D,2,FALSE),"")</f>
        <v/>
      </c>
      <c r="E86" t="str">
        <f>IFERROR(VLOOKUP(C86,FUNCIONARIOS!A:D,3,FALSE),"")</f>
        <v/>
      </c>
      <c r="F86" t="str">
        <f>IF(ISNUMBER(MATCH(C86,ListaScanner!A:A,0)),"OK","NÃO")</f>
        <v>NÃO</v>
      </c>
    </row>
    <row r="87" spans="1:6" x14ac:dyDescent="0.3">
      <c r="A87" s="2">
        <f t="shared" si="2"/>
        <v>46079</v>
      </c>
      <c r="B87" t="str">
        <f t="shared" si="3"/>
        <v>FO0603060006</v>
      </c>
      <c r="D87" t="str">
        <f>IFERROR(VLOOKUP(C87,FUNCIONARIOS!A:D,2,FALSE),"")</f>
        <v/>
      </c>
      <c r="E87" t="str">
        <f>IFERROR(VLOOKUP(C87,FUNCIONARIOS!A:D,3,FALSE),"")</f>
        <v/>
      </c>
      <c r="F87" t="str">
        <f>IF(ISNUMBER(MATCH(C87,ListaScanner!A:A,0)),"OK","NÃO")</f>
        <v>NÃO</v>
      </c>
    </row>
    <row r="88" spans="1:6" x14ac:dyDescent="0.3">
      <c r="A88" s="2">
        <f t="shared" si="2"/>
        <v>46079</v>
      </c>
      <c r="B88" t="str">
        <f t="shared" si="3"/>
        <v>FO0603060006</v>
      </c>
      <c r="D88" t="str">
        <f>IFERROR(VLOOKUP(C88,FUNCIONARIOS!A:D,2,FALSE),"")</f>
        <v/>
      </c>
      <c r="E88" t="str">
        <f>IFERROR(VLOOKUP(C88,FUNCIONARIOS!A:D,3,FALSE),"")</f>
        <v/>
      </c>
      <c r="F88" t="str">
        <f>IF(ISNUMBER(MATCH(C88,ListaScanner!A:A,0)),"OK","NÃO")</f>
        <v>NÃO</v>
      </c>
    </row>
    <row r="89" spans="1:6" x14ac:dyDescent="0.3">
      <c r="A89" s="2">
        <f t="shared" si="2"/>
        <v>46079</v>
      </c>
      <c r="B89" t="str">
        <f t="shared" si="3"/>
        <v>FO0603060006</v>
      </c>
      <c r="D89" t="str">
        <f>IFERROR(VLOOKUP(C89,FUNCIONARIOS!A:D,2,FALSE),"")</f>
        <v/>
      </c>
      <c r="E89" t="str">
        <f>IFERROR(VLOOKUP(C89,FUNCIONARIOS!A:D,3,FALSE),"")</f>
        <v/>
      </c>
      <c r="F89" t="str">
        <f>IF(ISNUMBER(MATCH(C89,ListaScanner!A:A,0)),"OK","NÃO")</f>
        <v>NÃO</v>
      </c>
    </row>
    <row r="90" spans="1:6" x14ac:dyDescent="0.3">
      <c r="A90" s="2">
        <f t="shared" si="2"/>
        <v>46079</v>
      </c>
      <c r="B90" t="str">
        <f t="shared" si="3"/>
        <v>FO0603060006</v>
      </c>
      <c r="D90" t="str">
        <f>IFERROR(VLOOKUP(C90,FUNCIONARIOS!A:D,2,FALSE),"")</f>
        <v/>
      </c>
      <c r="E90" t="str">
        <f>IFERROR(VLOOKUP(C90,FUNCIONARIOS!A:D,3,FALSE),"")</f>
        <v/>
      </c>
      <c r="F90" t="str">
        <f>IF(ISNUMBER(MATCH(C90,ListaScanner!A:A,0)),"OK","NÃO")</f>
        <v>NÃO</v>
      </c>
    </row>
    <row r="91" spans="1:6" x14ac:dyDescent="0.3">
      <c r="A91" s="2">
        <f t="shared" si="2"/>
        <v>46079</v>
      </c>
      <c r="B91" t="str">
        <f t="shared" si="3"/>
        <v>FO0603060006</v>
      </c>
      <c r="D91" t="str">
        <f>IFERROR(VLOOKUP(C91,FUNCIONARIOS!A:D,2,FALSE),"")</f>
        <v/>
      </c>
      <c r="E91" t="str">
        <f>IFERROR(VLOOKUP(C91,FUNCIONARIOS!A:D,3,FALSE),"")</f>
        <v/>
      </c>
      <c r="F91" t="str">
        <f>IF(ISNUMBER(MATCH(C91,ListaScanner!A:A,0)),"OK","NÃO")</f>
        <v>NÃO</v>
      </c>
    </row>
    <row r="92" spans="1:6" x14ac:dyDescent="0.3">
      <c r="A92" s="2">
        <f t="shared" si="2"/>
        <v>46079</v>
      </c>
      <c r="B92" t="str">
        <f t="shared" si="3"/>
        <v>FO0603060006</v>
      </c>
      <c r="D92" t="str">
        <f>IFERROR(VLOOKUP(C92,FUNCIONARIOS!A:D,2,FALSE),"")</f>
        <v/>
      </c>
      <c r="E92" t="str">
        <f>IFERROR(VLOOKUP(C92,FUNCIONARIOS!A:D,3,FALSE),"")</f>
        <v/>
      </c>
      <c r="F92" t="str">
        <f>IF(ISNUMBER(MATCH(C92,ListaScanner!A:A,0)),"OK","NÃO")</f>
        <v>NÃO</v>
      </c>
    </row>
    <row r="93" spans="1:6" x14ac:dyDescent="0.3">
      <c r="A93" s="2">
        <f t="shared" si="2"/>
        <v>46079</v>
      </c>
      <c r="B93" t="str">
        <f t="shared" si="3"/>
        <v>FO0603060006</v>
      </c>
      <c r="D93" t="str">
        <f>IFERROR(VLOOKUP(C93,FUNCIONARIOS!A:D,2,FALSE),"")</f>
        <v/>
      </c>
      <c r="E93" t="str">
        <f>IFERROR(VLOOKUP(C93,FUNCIONARIOS!A:D,3,FALSE),"")</f>
        <v/>
      </c>
      <c r="F93" t="str">
        <f>IF(ISNUMBER(MATCH(C93,ListaScanner!A:A,0)),"OK","NÃO")</f>
        <v>NÃO</v>
      </c>
    </row>
    <row r="94" spans="1:6" x14ac:dyDescent="0.3">
      <c r="A94" s="2">
        <f t="shared" si="2"/>
        <v>46079</v>
      </c>
      <c r="B94" t="str">
        <f t="shared" si="3"/>
        <v>FO0603060006</v>
      </c>
      <c r="D94" t="str">
        <f>IFERROR(VLOOKUP(C94,FUNCIONARIOS!A:D,2,FALSE),"")</f>
        <v/>
      </c>
      <c r="E94" t="str">
        <f>IFERROR(VLOOKUP(C94,FUNCIONARIOS!A:D,3,FALSE),"")</f>
        <v/>
      </c>
      <c r="F94" t="str">
        <f>IF(ISNUMBER(MATCH(C94,ListaScanner!A:A,0)),"OK","NÃO")</f>
        <v>NÃO</v>
      </c>
    </row>
    <row r="95" spans="1:6" x14ac:dyDescent="0.3">
      <c r="A95" s="2">
        <f t="shared" si="2"/>
        <v>46079</v>
      </c>
      <c r="B95" t="str">
        <f t="shared" si="3"/>
        <v>FO0603060006</v>
      </c>
      <c r="D95" t="str">
        <f>IFERROR(VLOOKUP(C95,FUNCIONARIOS!A:D,2,FALSE),"")</f>
        <v/>
      </c>
      <c r="E95" t="str">
        <f>IFERROR(VLOOKUP(C95,FUNCIONARIOS!A:D,3,FALSE),"")</f>
        <v/>
      </c>
      <c r="F95" t="str">
        <f>IF(ISNUMBER(MATCH(C95,ListaScanner!A:A,0)),"OK","NÃO")</f>
        <v>NÃO</v>
      </c>
    </row>
    <row r="96" spans="1:6" x14ac:dyDescent="0.3">
      <c r="A96" s="2">
        <f t="shared" si="2"/>
        <v>46079</v>
      </c>
      <c r="B96" t="str">
        <f t="shared" si="3"/>
        <v>FO0603060006</v>
      </c>
      <c r="D96" t="str">
        <f>IFERROR(VLOOKUP(C96,FUNCIONARIOS!A:D,2,FALSE),"")</f>
        <v/>
      </c>
      <c r="E96" t="str">
        <f>IFERROR(VLOOKUP(C96,FUNCIONARIOS!A:D,3,FALSE),"")</f>
        <v/>
      </c>
      <c r="F96" t="str">
        <f>IF(ISNUMBER(MATCH(C96,ListaScanner!A:A,0)),"OK","NÃO")</f>
        <v>NÃO</v>
      </c>
    </row>
    <row r="97" spans="1:6" x14ac:dyDescent="0.3">
      <c r="A97" s="2">
        <f t="shared" si="2"/>
        <v>46079</v>
      </c>
      <c r="B97" t="str">
        <f t="shared" si="3"/>
        <v>FO0603060006</v>
      </c>
      <c r="D97" t="str">
        <f>IFERROR(VLOOKUP(C97,FUNCIONARIOS!A:D,2,FALSE),"")</f>
        <v/>
      </c>
      <c r="E97" t="str">
        <f>IFERROR(VLOOKUP(C97,FUNCIONARIOS!A:D,3,FALSE),"")</f>
        <v/>
      </c>
      <c r="F97" t="str">
        <f>IF(ISNUMBER(MATCH(C97,ListaScanner!A:A,0)),"OK","NÃO")</f>
        <v>NÃO</v>
      </c>
    </row>
    <row r="98" spans="1:6" x14ac:dyDescent="0.3">
      <c r="A98" s="2">
        <f t="shared" si="2"/>
        <v>46079</v>
      </c>
      <c r="B98" t="str">
        <f t="shared" si="3"/>
        <v>FO0603060006</v>
      </c>
      <c r="D98" t="str">
        <f>IFERROR(VLOOKUP(C98,FUNCIONARIOS!A:D,2,FALSE),"")</f>
        <v/>
      </c>
      <c r="E98" t="str">
        <f>IFERROR(VLOOKUP(C98,FUNCIONARIOS!A:D,3,FALSE),"")</f>
        <v/>
      </c>
      <c r="F98" t="str">
        <f>IF(ISNUMBER(MATCH(C98,ListaScanner!A:A,0)),"OK","NÃO")</f>
        <v>NÃO</v>
      </c>
    </row>
    <row r="99" spans="1:6" x14ac:dyDescent="0.3">
      <c r="A99" s="2">
        <f t="shared" si="2"/>
        <v>46079</v>
      </c>
      <c r="B99" t="str">
        <f t="shared" si="3"/>
        <v>FO0603060006</v>
      </c>
      <c r="D99" t="str">
        <f>IFERROR(VLOOKUP(C99,FUNCIONARIOS!A:D,2,FALSE),"")</f>
        <v/>
      </c>
      <c r="E99" t="str">
        <f>IFERROR(VLOOKUP(C99,FUNCIONARIOS!A:D,3,FALSE),"")</f>
        <v/>
      </c>
      <c r="F99" t="str">
        <f>IF(ISNUMBER(MATCH(C99,ListaScanner!A:A,0)),"OK","NÃO")</f>
        <v>NÃO</v>
      </c>
    </row>
    <row r="100" spans="1:6" x14ac:dyDescent="0.3">
      <c r="A100" s="2">
        <f t="shared" si="2"/>
        <v>46079</v>
      </c>
      <c r="B100" t="str">
        <f t="shared" si="3"/>
        <v>FO0603060006</v>
      </c>
      <c r="D100" t="str">
        <f>IFERROR(VLOOKUP(C100,FUNCIONARIOS!A:D,2,FALSE),"")</f>
        <v/>
      </c>
      <c r="E100" t="str">
        <f>IFERROR(VLOOKUP(C100,FUNCIONARIOS!A:D,3,FALSE),"")</f>
        <v/>
      </c>
      <c r="F100" t="str">
        <f>IF(ISNUMBER(MATCH(C100,ListaScanner!A:A,0)),"OK","NÃO")</f>
        <v>NÃO</v>
      </c>
    </row>
    <row r="101" spans="1:6" x14ac:dyDescent="0.3">
      <c r="A101" s="2">
        <f t="shared" si="2"/>
        <v>46079</v>
      </c>
      <c r="B101" t="str">
        <f t="shared" si="3"/>
        <v>FO0603060006</v>
      </c>
      <c r="D101" t="str">
        <f>IFERROR(VLOOKUP(C101,FUNCIONARIOS!A:D,2,FALSE),"")</f>
        <v/>
      </c>
      <c r="E101" t="str">
        <f>IFERROR(VLOOKUP(C101,FUNCIONARIOS!A:D,3,FALSE),"")</f>
        <v/>
      </c>
      <c r="F101" t="str">
        <f>IF(ISNUMBER(MATCH(C101,ListaScanner!A:A,0)),"OK","NÃO")</f>
        <v>NÃO</v>
      </c>
    </row>
    <row r="102" spans="1:6" x14ac:dyDescent="0.3">
      <c r="A102" s="2">
        <f t="shared" si="2"/>
        <v>46079</v>
      </c>
      <c r="B102" t="str">
        <f t="shared" si="3"/>
        <v>FO0603060006</v>
      </c>
      <c r="D102" t="str">
        <f>IFERROR(VLOOKUP(C102,FUNCIONARIOS!A:D,2,FALSE),"")</f>
        <v/>
      </c>
      <c r="E102" t="str">
        <f>IFERROR(VLOOKUP(C102,FUNCIONARIOS!A:D,3,FALSE),"")</f>
        <v/>
      </c>
      <c r="F102" t="str">
        <f>IF(ISNUMBER(MATCH(C102,ListaScanner!A:A,0)),"OK","NÃO")</f>
        <v>NÃO</v>
      </c>
    </row>
    <row r="103" spans="1:6" x14ac:dyDescent="0.3">
      <c r="A103" s="2">
        <f t="shared" si="2"/>
        <v>46079</v>
      </c>
      <c r="B103" t="str">
        <f t="shared" si="3"/>
        <v>FO0603060006</v>
      </c>
      <c r="D103" t="str">
        <f>IFERROR(VLOOKUP(C103,FUNCIONARIOS!A:D,2,FALSE),"")</f>
        <v/>
      </c>
      <c r="E103" t="str">
        <f>IFERROR(VLOOKUP(C103,FUNCIONARIOS!A:D,3,FALSE),"")</f>
        <v/>
      </c>
      <c r="F103" t="str">
        <f>IF(ISNUMBER(MATCH(C103,ListaScanner!A:A,0)),"OK","NÃO")</f>
        <v>NÃO</v>
      </c>
    </row>
    <row r="104" spans="1:6" x14ac:dyDescent="0.3">
      <c r="A104" s="2">
        <f t="shared" si="2"/>
        <v>46079</v>
      </c>
      <c r="B104" t="str">
        <f t="shared" si="3"/>
        <v>FO0603060006</v>
      </c>
      <c r="D104" t="str">
        <f>IFERROR(VLOOKUP(C104,FUNCIONARIOS!A:D,2,FALSE),"")</f>
        <v/>
      </c>
      <c r="E104" t="str">
        <f>IFERROR(VLOOKUP(C104,FUNCIONARIOS!A:D,3,FALSE),"")</f>
        <v/>
      </c>
      <c r="F104" t="str">
        <f>IF(ISNUMBER(MATCH(C104,ListaScanner!A:A,0)),"OK","NÃO")</f>
        <v>NÃO</v>
      </c>
    </row>
    <row r="105" spans="1:6" x14ac:dyDescent="0.3">
      <c r="A105" s="2">
        <f t="shared" si="2"/>
        <v>46079</v>
      </c>
      <c r="B105" t="str">
        <f t="shared" si="3"/>
        <v>FO0603060006</v>
      </c>
      <c r="D105" t="str">
        <f>IFERROR(VLOOKUP(C105,FUNCIONARIOS!A:D,2,FALSE),"")</f>
        <v/>
      </c>
      <c r="E105" t="str">
        <f>IFERROR(VLOOKUP(C105,FUNCIONARIOS!A:D,3,FALSE),"")</f>
        <v/>
      </c>
      <c r="F105" t="str">
        <f>IF(ISNUMBER(MATCH(C105,ListaScanner!A:A,0)),"OK","NÃO")</f>
        <v>NÃO</v>
      </c>
    </row>
    <row r="106" spans="1:6" x14ac:dyDescent="0.3">
      <c r="A106" s="2">
        <f t="shared" si="2"/>
        <v>46079</v>
      </c>
      <c r="B106" t="str">
        <f t="shared" si="3"/>
        <v>FO0603060006</v>
      </c>
      <c r="D106" t="str">
        <f>IFERROR(VLOOKUP(C106,FUNCIONARIOS!A:D,2,FALSE),"")</f>
        <v/>
      </c>
      <c r="E106" t="str">
        <f>IFERROR(VLOOKUP(C106,FUNCIONARIOS!A:D,3,FALSE),"")</f>
        <v/>
      </c>
      <c r="F106" t="str">
        <f>IF(ISNUMBER(MATCH(C106,ListaScanner!A:A,0)),"OK","NÃO")</f>
        <v>NÃO</v>
      </c>
    </row>
    <row r="107" spans="1:6" x14ac:dyDescent="0.3">
      <c r="A107" s="2">
        <f t="shared" si="2"/>
        <v>46079</v>
      </c>
      <c r="B107" t="str">
        <f t="shared" si="3"/>
        <v>FO0603060006</v>
      </c>
      <c r="D107" t="str">
        <f>IFERROR(VLOOKUP(C107,FUNCIONARIOS!A:D,2,FALSE),"")</f>
        <v/>
      </c>
      <c r="E107" t="str">
        <f>IFERROR(VLOOKUP(C107,FUNCIONARIOS!A:D,3,FALSE),"")</f>
        <v/>
      </c>
      <c r="F107" t="str">
        <f>IF(ISNUMBER(MATCH(C107,ListaScanner!A:A,0)),"OK","NÃO")</f>
        <v>NÃO</v>
      </c>
    </row>
    <row r="108" spans="1:6" x14ac:dyDescent="0.3">
      <c r="A108" s="2">
        <f t="shared" si="2"/>
        <v>46079</v>
      </c>
      <c r="B108" t="str">
        <f t="shared" si="3"/>
        <v>FO0603060006</v>
      </c>
      <c r="D108" t="str">
        <f>IFERROR(VLOOKUP(C108,FUNCIONARIOS!A:D,2,FALSE),"")</f>
        <v/>
      </c>
      <c r="E108" t="str">
        <f>IFERROR(VLOOKUP(C108,FUNCIONARIOS!A:D,3,FALSE),"")</f>
        <v/>
      </c>
      <c r="F108" t="str">
        <f>IF(ISNUMBER(MATCH(C108,ListaScanner!A:A,0)),"OK","NÃO")</f>
        <v>NÃO</v>
      </c>
    </row>
    <row r="109" spans="1:6" x14ac:dyDescent="0.3">
      <c r="A109" s="2">
        <f t="shared" si="2"/>
        <v>46079</v>
      </c>
      <c r="B109" t="str">
        <f t="shared" si="3"/>
        <v>FO0603060006</v>
      </c>
      <c r="D109" t="str">
        <f>IFERROR(VLOOKUP(C109,FUNCIONARIOS!A:D,2,FALSE),"")</f>
        <v/>
      </c>
      <c r="E109" t="str">
        <f>IFERROR(VLOOKUP(C109,FUNCIONARIOS!A:D,3,FALSE),"")</f>
        <v/>
      </c>
      <c r="F109" t="str">
        <f>IF(ISNUMBER(MATCH(C109,ListaScanner!A:A,0)),"OK","NÃO")</f>
        <v>NÃO</v>
      </c>
    </row>
    <row r="110" spans="1:6" x14ac:dyDescent="0.3">
      <c r="A110" s="2">
        <f t="shared" si="2"/>
        <v>46079</v>
      </c>
      <c r="B110" t="str">
        <f t="shared" si="3"/>
        <v>FO0603060006</v>
      </c>
      <c r="D110" t="str">
        <f>IFERROR(VLOOKUP(C110,FUNCIONARIOS!A:D,2,FALSE),"")</f>
        <v/>
      </c>
      <c r="E110" t="str">
        <f>IFERROR(VLOOKUP(C110,FUNCIONARIOS!A:D,3,FALSE),"")</f>
        <v/>
      </c>
      <c r="F110" t="str">
        <f>IF(ISNUMBER(MATCH(C110,ListaScanner!A:A,0)),"OK","NÃO")</f>
        <v>NÃO</v>
      </c>
    </row>
    <row r="111" spans="1:6" x14ac:dyDescent="0.3">
      <c r="A111" s="2">
        <f t="shared" si="2"/>
        <v>46079</v>
      </c>
      <c r="B111" t="str">
        <f t="shared" si="3"/>
        <v>FO0603060006</v>
      </c>
      <c r="D111" t="str">
        <f>IFERROR(VLOOKUP(C111,FUNCIONARIOS!A:D,2,FALSE),"")</f>
        <v/>
      </c>
      <c r="E111" t="str">
        <f>IFERROR(VLOOKUP(C111,FUNCIONARIOS!A:D,3,FALSE),"")</f>
        <v/>
      </c>
      <c r="F111" t="str">
        <f>IF(ISNUMBER(MATCH(C111,ListaScanner!A:A,0)),"OK","NÃO")</f>
        <v>NÃO</v>
      </c>
    </row>
    <row r="112" spans="1:6" x14ac:dyDescent="0.3">
      <c r="A112" s="2">
        <f t="shared" si="2"/>
        <v>46079</v>
      </c>
      <c r="B112" t="str">
        <f t="shared" si="3"/>
        <v>FO0603060006</v>
      </c>
      <c r="D112" t="str">
        <f>IFERROR(VLOOKUP(C112,FUNCIONARIOS!A:D,2,FALSE),"")</f>
        <v/>
      </c>
      <c r="E112" t="str">
        <f>IFERROR(VLOOKUP(C112,FUNCIONARIOS!A:D,3,FALSE),"")</f>
        <v/>
      </c>
      <c r="F112" t="str">
        <f>IF(ISNUMBER(MATCH(C112,ListaScanner!A:A,0)),"OK","NÃO")</f>
        <v>NÃO</v>
      </c>
    </row>
    <row r="113" spans="1:6" x14ac:dyDescent="0.3">
      <c r="A113" s="2">
        <f t="shared" si="2"/>
        <v>46079</v>
      </c>
      <c r="B113" t="str">
        <f t="shared" si="3"/>
        <v>FO0603060006</v>
      </c>
      <c r="D113" t="str">
        <f>IFERROR(VLOOKUP(C113,FUNCIONARIOS!A:D,2,FALSE),"")</f>
        <v/>
      </c>
      <c r="E113" t="str">
        <f>IFERROR(VLOOKUP(C113,FUNCIONARIOS!A:D,3,FALSE),"")</f>
        <v/>
      </c>
      <c r="F113" t="str">
        <f>IF(ISNUMBER(MATCH(C113,ListaScanner!A:A,0)),"OK","NÃO")</f>
        <v>NÃO</v>
      </c>
    </row>
    <row r="114" spans="1:6" x14ac:dyDescent="0.3">
      <c r="A114" s="2">
        <f t="shared" si="2"/>
        <v>46079</v>
      </c>
      <c r="B114" t="str">
        <f t="shared" si="3"/>
        <v>FO0603060006</v>
      </c>
      <c r="D114" t="str">
        <f>IFERROR(VLOOKUP(C114,FUNCIONARIOS!A:D,2,FALSE),"")</f>
        <v/>
      </c>
      <c r="E114" t="str">
        <f>IFERROR(VLOOKUP(C114,FUNCIONARIOS!A:D,3,FALSE),"")</f>
        <v/>
      </c>
      <c r="F114" t="str">
        <f>IF(ISNUMBER(MATCH(C114,ListaScanner!A:A,0)),"OK","NÃO")</f>
        <v>NÃO</v>
      </c>
    </row>
    <row r="115" spans="1:6" x14ac:dyDescent="0.3">
      <c r="A115" s="2">
        <f t="shared" si="2"/>
        <v>46079</v>
      </c>
      <c r="B115" t="str">
        <f t="shared" si="3"/>
        <v>FO0603060006</v>
      </c>
      <c r="D115" t="str">
        <f>IFERROR(VLOOKUP(C115,FUNCIONARIOS!A:D,2,FALSE),"")</f>
        <v/>
      </c>
      <c r="E115" t="str">
        <f>IFERROR(VLOOKUP(C115,FUNCIONARIOS!A:D,3,FALSE),"")</f>
        <v/>
      </c>
      <c r="F115" t="str">
        <f>IF(ISNUMBER(MATCH(C115,ListaScanner!A:A,0)),"OK","NÃO")</f>
        <v>NÃO</v>
      </c>
    </row>
    <row r="116" spans="1:6" x14ac:dyDescent="0.3">
      <c r="A116" s="2">
        <f t="shared" si="2"/>
        <v>46079</v>
      </c>
      <c r="B116" t="str">
        <f t="shared" si="3"/>
        <v>FO0603060006</v>
      </c>
      <c r="D116" t="str">
        <f>IFERROR(VLOOKUP(C116,FUNCIONARIOS!A:D,2,FALSE),"")</f>
        <v/>
      </c>
      <c r="E116" t="str">
        <f>IFERROR(VLOOKUP(C116,FUNCIONARIOS!A:D,3,FALSE),"")</f>
        <v/>
      </c>
      <c r="F116" t="str">
        <f>IF(ISNUMBER(MATCH(C116,ListaScanner!A:A,0)),"OK","NÃO")</f>
        <v>NÃO</v>
      </c>
    </row>
    <row r="117" spans="1:6" x14ac:dyDescent="0.3">
      <c r="A117" s="2">
        <f t="shared" si="2"/>
        <v>46079</v>
      </c>
      <c r="B117" t="str">
        <f t="shared" si="3"/>
        <v>FO0603060006</v>
      </c>
      <c r="D117" t="str">
        <f>IFERROR(VLOOKUP(C117,FUNCIONARIOS!A:D,2,FALSE),"")</f>
        <v/>
      </c>
      <c r="E117" t="str">
        <f>IFERROR(VLOOKUP(C117,FUNCIONARIOS!A:D,3,FALSE),"")</f>
        <v/>
      </c>
      <c r="F117" t="str">
        <f>IF(ISNUMBER(MATCH(C117,ListaScanner!A:A,0)),"OK","NÃO")</f>
        <v>NÃO</v>
      </c>
    </row>
    <row r="118" spans="1:6" x14ac:dyDescent="0.3">
      <c r="A118" s="2">
        <f t="shared" si="2"/>
        <v>46079</v>
      </c>
      <c r="B118" t="str">
        <f t="shared" si="3"/>
        <v>FO0603060006</v>
      </c>
      <c r="D118" t="str">
        <f>IFERROR(VLOOKUP(C118,FUNCIONARIOS!A:D,2,FALSE),"")</f>
        <v/>
      </c>
      <c r="E118" t="str">
        <f>IFERROR(VLOOKUP(C118,FUNCIONARIOS!A:D,3,FALSE),"")</f>
        <v/>
      </c>
      <c r="F118" t="str">
        <f>IF(ISNUMBER(MATCH(C118,ListaScanner!A:A,0)),"OK","NÃO")</f>
        <v>NÃO</v>
      </c>
    </row>
    <row r="119" spans="1:6" x14ac:dyDescent="0.3">
      <c r="A119" s="2">
        <f t="shared" si="2"/>
        <v>46079</v>
      </c>
      <c r="B119" t="str">
        <f t="shared" si="3"/>
        <v>FO0603060006</v>
      </c>
      <c r="D119" t="str">
        <f>IFERROR(VLOOKUP(C119,FUNCIONARIOS!A:D,2,FALSE),"")</f>
        <v/>
      </c>
      <c r="E119" t="str">
        <f>IFERROR(VLOOKUP(C119,FUNCIONARIOS!A:D,3,FALSE),"")</f>
        <v/>
      </c>
      <c r="F119" t="str">
        <f>IF(ISNUMBER(MATCH(C119,ListaScanner!A:A,0)),"OK","NÃO")</f>
        <v>NÃO</v>
      </c>
    </row>
    <row r="120" spans="1:6" x14ac:dyDescent="0.3">
      <c r="A120" s="2">
        <f t="shared" si="2"/>
        <v>46079</v>
      </c>
      <c r="B120" t="str">
        <f t="shared" si="3"/>
        <v>FO0603060006</v>
      </c>
      <c r="D120" t="str">
        <f>IFERROR(VLOOKUP(C120,FUNCIONARIOS!A:D,2,FALSE),"")</f>
        <v/>
      </c>
      <c r="E120" t="str">
        <f>IFERROR(VLOOKUP(C120,FUNCIONARIOS!A:D,3,FALSE),"")</f>
        <v/>
      </c>
      <c r="F120" t="str">
        <f>IF(ISNUMBER(MATCH(C120,ListaScanner!A:A,0)),"OK","NÃO")</f>
        <v>NÃO</v>
      </c>
    </row>
    <row r="121" spans="1:6" x14ac:dyDescent="0.3">
      <c r="A121" s="2">
        <f t="shared" si="2"/>
        <v>46079</v>
      </c>
      <c r="B121" t="str">
        <f t="shared" si="3"/>
        <v>FO0603060006</v>
      </c>
      <c r="D121" t="str">
        <f>IFERROR(VLOOKUP(C121,FUNCIONARIOS!A:D,2,FALSE),"")</f>
        <v/>
      </c>
      <c r="E121" t="str">
        <f>IFERROR(VLOOKUP(C121,FUNCIONARIOS!A:D,3,FALSE),"")</f>
        <v/>
      </c>
      <c r="F121" t="str">
        <f>IF(ISNUMBER(MATCH(C121,ListaScanner!A:A,0)),"OK","NÃO")</f>
        <v>NÃO</v>
      </c>
    </row>
    <row r="122" spans="1:6" x14ac:dyDescent="0.3">
      <c r="A122" s="2">
        <f t="shared" si="2"/>
        <v>46079</v>
      </c>
      <c r="B122" t="str">
        <f t="shared" si="3"/>
        <v>FO0603060006</v>
      </c>
      <c r="D122" t="str">
        <f>IFERROR(VLOOKUP(C122,FUNCIONARIOS!A:D,2,FALSE),"")</f>
        <v/>
      </c>
      <c r="E122" t="str">
        <f>IFERROR(VLOOKUP(C122,FUNCIONARIOS!A:D,3,FALSE),"")</f>
        <v/>
      </c>
      <c r="F122" t="str">
        <f>IF(ISNUMBER(MATCH(C122,ListaScanner!A:A,0)),"OK","NÃO")</f>
        <v>NÃO</v>
      </c>
    </row>
    <row r="123" spans="1:6" x14ac:dyDescent="0.3">
      <c r="A123" s="2">
        <f t="shared" si="2"/>
        <v>46079</v>
      </c>
      <c r="B123" t="str">
        <f t="shared" si="3"/>
        <v>FO0603060006</v>
      </c>
      <c r="D123" t="str">
        <f>IFERROR(VLOOKUP(C123,FUNCIONARIOS!A:D,2,FALSE),"")</f>
        <v/>
      </c>
      <c r="E123" t="str">
        <f>IFERROR(VLOOKUP(C123,FUNCIONARIOS!A:D,3,FALSE),"")</f>
        <v/>
      </c>
      <c r="F123" t="str">
        <f>IF(ISNUMBER(MATCH(C123,ListaScanner!A:A,0)),"OK","NÃO")</f>
        <v>NÃO</v>
      </c>
    </row>
    <row r="124" spans="1:6" x14ac:dyDescent="0.3">
      <c r="A124" s="2">
        <f t="shared" si="2"/>
        <v>46079</v>
      </c>
      <c r="B124" t="str">
        <f t="shared" si="3"/>
        <v>FO0603060006</v>
      </c>
      <c r="D124" t="str">
        <f>IFERROR(VLOOKUP(C124,FUNCIONARIOS!A:D,2,FALSE),"")</f>
        <v/>
      </c>
      <c r="E124" t="str">
        <f>IFERROR(VLOOKUP(C124,FUNCIONARIOS!A:D,3,FALSE),"")</f>
        <v/>
      </c>
      <c r="F124" t="str">
        <f>IF(ISNUMBER(MATCH(C124,ListaScanner!A:A,0)),"OK","NÃO")</f>
        <v>NÃO</v>
      </c>
    </row>
    <row r="125" spans="1:6" x14ac:dyDescent="0.3">
      <c r="A125" s="2">
        <f t="shared" si="2"/>
        <v>46079</v>
      </c>
      <c r="B125" t="str">
        <f t="shared" si="3"/>
        <v>FO0603060006</v>
      </c>
      <c r="D125" t="str">
        <f>IFERROR(VLOOKUP(C125,FUNCIONARIOS!A:D,2,FALSE),"")</f>
        <v/>
      </c>
      <c r="E125" t="str">
        <f>IFERROR(VLOOKUP(C125,FUNCIONARIOS!A:D,3,FALSE),"")</f>
        <v/>
      </c>
      <c r="F125" t="str">
        <f>IF(ISNUMBER(MATCH(C125,ListaScanner!A:A,0)),"OK","NÃO")</f>
        <v>NÃO</v>
      </c>
    </row>
    <row r="126" spans="1:6" x14ac:dyDescent="0.3">
      <c r="A126" s="2">
        <f t="shared" si="2"/>
        <v>46079</v>
      </c>
      <c r="B126" t="str">
        <f t="shared" si="3"/>
        <v>FO0603060006</v>
      </c>
      <c r="D126" t="str">
        <f>IFERROR(VLOOKUP(C126,FUNCIONARIOS!A:D,2,FALSE),"")</f>
        <v/>
      </c>
      <c r="E126" t="str">
        <f>IFERROR(VLOOKUP(C126,FUNCIONARIOS!A:D,3,FALSE),"")</f>
        <v/>
      </c>
      <c r="F126" t="str">
        <f>IF(ISNUMBER(MATCH(C126,ListaScanner!A:A,0)),"OK","NÃO")</f>
        <v>NÃO</v>
      </c>
    </row>
    <row r="127" spans="1:6" x14ac:dyDescent="0.3">
      <c r="A127" s="2">
        <f t="shared" si="2"/>
        <v>46079</v>
      </c>
      <c r="B127" t="str">
        <f t="shared" si="3"/>
        <v>FO0603060006</v>
      </c>
      <c r="D127" t="str">
        <f>IFERROR(VLOOKUP(C127,FUNCIONARIOS!A:D,2,FALSE),"")</f>
        <v/>
      </c>
      <c r="E127" t="str">
        <f>IFERROR(VLOOKUP(C127,FUNCIONARIOS!A:D,3,FALSE),"")</f>
        <v/>
      </c>
      <c r="F127" t="str">
        <f>IF(ISNUMBER(MATCH(C127,ListaScanner!A:A,0)),"OK","NÃO")</f>
        <v>NÃO</v>
      </c>
    </row>
    <row r="128" spans="1:6" x14ac:dyDescent="0.3">
      <c r="A128" s="2">
        <f t="shared" si="2"/>
        <v>46079</v>
      </c>
      <c r="B128" t="str">
        <f t="shared" si="3"/>
        <v>FO0603060006</v>
      </c>
      <c r="D128" t="str">
        <f>IFERROR(VLOOKUP(C128,FUNCIONARIOS!A:D,2,FALSE),"")</f>
        <v/>
      </c>
      <c r="E128" t="str">
        <f>IFERROR(VLOOKUP(C128,FUNCIONARIOS!A:D,3,FALSE),"")</f>
        <v/>
      </c>
      <c r="F128" t="str">
        <f>IF(ISNUMBER(MATCH(C128,ListaScanner!A:A,0)),"OK","NÃO")</f>
        <v>NÃO</v>
      </c>
    </row>
    <row r="129" spans="1:6" x14ac:dyDescent="0.3">
      <c r="A129" s="2">
        <f t="shared" si="2"/>
        <v>46079</v>
      </c>
      <c r="B129" t="str">
        <f t="shared" si="3"/>
        <v>FO0603060006</v>
      </c>
      <c r="D129" t="str">
        <f>IFERROR(VLOOKUP(C129,FUNCIONARIOS!A:D,2,FALSE),"")</f>
        <v/>
      </c>
      <c r="E129" t="str">
        <f>IFERROR(VLOOKUP(C129,FUNCIONARIOS!A:D,3,FALSE),"")</f>
        <v/>
      </c>
      <c r="F129" t="str">
        <f>IF(ISNUMBER(MATCH(C129,ListaScanner!A:A,0)),"OK","NÃO")</f>
        <v>NÃO</v>
      </c>
    </row>
    <row r="130" spans="1:6" x14ac:dyDescent="0.3">
      <c r="A130" s="2">
        <f t="shared" si="2"/>
        <v>46079</v>
      </c>
      <c r="B130" t="str">
        <f t="shared" si="3"/>
        <v>FO0603060006</v>
      </c>
      <c r="D130" t="str">
        <f>IFERROR(VLOOKUP(C130,FUNCIONARIOS!A:D,2,FALSE),"")</f>
        <v/>
      </c>
      <c r="E130" t="str">
        <f>IFERROR(VLOOKUP(C130,FUNCIONARIOS!A:D,3,FALSE),"")</f>
        <v/>
      </c>
      <c r="F130" t="str">
        <f>IF(ISNUMBER(MATCH(C130,ListaScanner!A:A,0)),"OK","NÃO")</f>
        <v>NÃO</v>
      </c>
    </row>
    <row r="131" spans="1:6" x14ac:dyDescent="0.3">
      <c r="A131" s="2">
        <f t="shared" si="2"/>
        <v>46079</v>
      </c>
      <c r="B131" t="str">
        <f t="shared" si="3"/>
        <v>FO0603060006</v>
      </c>
      <c r="D131" t="str">
        <f>IFERROR(VLOOKUP(C131,FUNCIONARIOS!A:D,2,FALSE),"")</f>
        <v/>
      </c>
      <c r="E131" t="str">
        <f>IFERROR(VLOOKUP(C131,FUNCIONARIOS!A:D,3,FALSE),"")</f>
        <v/>
      </c>
      <c r="F131" t="str">
        <f>IF(ISNUMBER(MATCH(C131,ListaScanner!A:A,0)),"OK","NÃO")</f>
        <v>NÃO</v>
      </c>
    </row>
    <row r="132" spans="1:6" x14ac:dyDescent="0.3">
      <c r="A132" s="2">
        <f t="shared" si="2"/>
        <v>46079</v>
      </c>
      <c r="B132" t="str">
        <f t="shared" si="3"/>
        <v>FO0603060006</v>
      </c>
      <c r="D132" t="str">
        <f>IFERROR(VLOOKUP(C132,FUNCIONARIOS!A:D,2,FALSE),"")</f>
        <v/>
      </c>
      <c r="E132" t="str">
        <f>IFERROR(VLOOKUP(C132,FUNCIONARIOS!A:D,3,FALSE),"")</f>
        <v/>
      </c>
      <c r="F132" t="str">
        <f>IF(ISNUMBER(MATCH(C132,ListaScanner!A:A,0)),"OK","NÃO")</f>
        <v>NÃO</v>
      </c>
    </row>
    <row r="133" spans="1:6" x14ac:dyDescent="0.3">
      <c r="A133" s="2">
        <f t="shared" si="2"/>
        <v>46079</v>
      </c>
      <c r="B133" t="str">
        <f t="shared" si="3"/>
        <v>FO0603060006</v>
      </c>
      <c r="D133" t="str">
        <f>IFERROR(VLOOKUP(C133,FUNCIONARIOS!A:D,2,FALSE),"")</f>
        <v/>
      </c>
      <c r="E133" t="str">
        <f>IFERROR(VLOOKUP(C133,FUNCIONARIOS!A:D,3,FALSE),"")</f>
        <v/>
      </c>
      <c r="F133" t="str">
        <f>IF(ISNUMBER(MATCH(C133,ListaScanner!A:A,0)),"OK","NÃO")</f>
        <v>NÃO</v>
      </c>
    </row>
    <row r="134" spans="1:6" x14ac:dyDescent="0.3">
      <c r="A134" s="2">
        <f t="shared" ref="A134:A197" si="4">$C$1</f>
        <v>46079</v>
      </c>
      <c r="B134" t="str">
        <f t="shared" ref="B134:B197" si="5">$C$2</f>
        <v>FO0603060006</v>
      </c>
      <c r="D134" t="str">
        <f>IFERROR(VLOOKUP(C134,FUNCIONARIOS!A:D,2,FALSE),"")</f>
        <v/>
      </c>
      <c r="E134" t="str">
        <f>IFERROR(VLOOKUP(C134,FUNCIONARIOS!A:D,3,FALSE),"")</f>
        <v/>
      </c>
      <c r="F134" t="str">
        <f>IF(ISNUMBER(MATCH(C134,ListaScanner!A:A,0)),"OK","NÃO")</f>
        <v>NÃO</v>
      </c>
    </row>
    <row r="135" spans="1:6" x14ac:dyDescent="0.3">
      <c r="A135" s="2">
        <f t="shared" si="4"/>
        <v>46079</v>
      </c>
      <c r="B135" t="str">
        <f t="shared" si="5"/>
        <v>FO0603060006</v>
      </c>
      <c r="D135" t="str">
        <f>IFERROR(VLOOKUP(C135,FUNCIONARIOS!A:D,2,FALSE),"")</f>
        <v/>
      </c>
      <c r="E135" t="str">
        <f>IFERROR(VLOOKUP(C135,FUNCIONARIOS!A:D,3,FALSE),"")</f>
        <v/>
      </c>
      <c r="F135" t="str">
        <f>IF(ISNUMBER(MATCH(C135,ListaScanner!A:A,0)),"OK","NÃO")</f>
        <v>NÃO</v>
      </c>
    </row>
    <row r="136" spans="1:6" x14ac:dyDescent="0.3">
      <c r="A136" s="2">
        <f t="shared" si="4"/>
        <v>46079</v>
      </c>
      <c r="B136" t="str">
        <f t="shared" si="5"/>
        <v>FO0603060006</v>
      </c>
      <c r="D136" t="str">
        <f>IFERROR(VLOOKUP(C136,FUNCIONARIOS!A:D,2,FALSE),"")</f>
        <v/>
      </c>
      <c r="E136" t="str">
        <f>IFERROR(VLOOKUP(C136,FUNCIONARIOS!A:D,3,FALSE),"")</f>
        <v/>
      </c>
      <c r="F136" t="str">
        <f>IF(ISNUMBER(MATCH(C136,ListaScanner!A:A,0)),"OK","NÃO")</f>
        <v>NÃO</v>
      </c>
    </row>
    <row r="137" spans="1:6" x14ac:dyDescent="0.3">
      <c r="A137" s="2">
        <f t="shared" si="4"/>
        <v>46079</v>
      </c>
      <c r="B137" t="str">
        <f t="shared" si="5"/>
        <v>FO0603060006</v>
      </c>
      <c r="D137" t="str">
        <f>IFERROR(VLOOKUP(C137,FUNCIONARIOS!A:D,2,FALSE),"")</f>
        <v/>
      </c>
      <c r="E137" t="str">
        <f>IFERROR(VLOOKUP(C137,FUNCIONARIOS!A:D,3,FALSE),"")</f>
        <v/>
      </c>
      <c r="F137" t="str">
        <f>IF(ISNUMBER(MATCH(C137,ListaScanner!A:A,0)),"OK","NÃO")</f>
        <v>NÃO</v>
      </c>
    </row>
    <row r="138" spans="1:6" x14ac:dyDescent="0.3">
      <c r="A138" s="2">
        <f t="shared" si="4"/>
        <v>46079</v>
      </c>
      <c r="B138" t="str">
        <f t="shared" si="5"/>
        <v>FO0603060006</v>
      </c>
      <c r="D138" t="str">
        <f>IFERROR(VLOOKUP(C138,FUNCIONARIOS!A:D,2,FALSE),"")</f>
        <v/>
      </c>
      <c r="E138" t="str">
        <f>IFERROR(VLOOKUP(C138,FUNCIONARIOS!A:D,3,FALSE),"")</f>
        <v/>
      </c>
      <c r="F138" t="str">
        <f>IF(ISNUMBER(MATCH(C138,ListaScanner!A:A,0)),"OK","NÃO")</f>
        <v>NÃO</v>
      </c>
    </row>
    <row r="139" spans="1:6" x14ac:dyDescent="0.3">
      <c r="A139" s="2">
        <f t="shared" si="4"/>
        <v>46079</v>
      </c>
      <c r="B139" t="str">
        <f t="shared" si="5"/>
        <v>FO0603060006</v>
      </c>
      <c r="D139" t="str">
        <f>IFERROR(VLOOKUP(C139,FUNCIONARIOS!A:D,2,FALSE),"")</f>
        <v/>
      </c>
      <c r="E139" t="str">
        <f>IFERROR(VLOOKUP(C139,FUNCIONARIOS!A:D,3,FALSE),"")</f>
        <v/>
      </c>
      <c r="F139" t="str">
        <f>IF(ISNUMBER(MATCH(C139,ListaScanner!A:A,0)),"OK","NÃO")</f>
        <v>NÃO</v>
      </c>
    </row>
    <row r="140" spans="1:6" x14ac:dyDescent="0.3">
      <c r="A140" s="2">
        <f t="shared" si="4"/>
        <v>46079</v>
      </c>
      <c r="B140" t="str">
        <f t="shared" si="5"/>
        <v>FO0603060006</v>
      </c>
      <c r="D140" t="str">
        <f>IFERROR(VLOOKUP(C140,FUNCIONARIOS!A:D,2,FALSE),"")</f>
        <v/>
      </c>
      <c r="E140" t="str">
        <f>IFERROR(VLOOKUP(C140,FUNCIONARIOS!A:D,3,FALSE),"")</f>
        <v/>
      </c>
      <c r="F140" t="str">
        <f>IF(ISNUMBER(MATCH(C140,ListaScanner!A:A,0)),"OK","NÃO")</f>
        <v>NÃO</v>
      </c>
    </row>
    <row r="141" spans="1:6" x14ac:dyDescent="0.3">
      <c r="A141" s="2">
        <f t="shared" si="4"/>
        <v>46079</v>
      </c>
      <c r="B141" t="str">
        <f t="shared" si="5"/>
        <v>FO0603060006</v>
      </c>
      <c r="D141" t="str">
        <f>IFERROR(VLOOKUP(C141,FUNCIONARIOS!A:D,2,FALSE),"")</f>
        <v/>
      </c>
      <c r="E141" t="str">
        <f>IFERROR(VLOOKUP(C141,FUNCIONARIOS!A:D,3,FALSE),"")</f>
        <v/>
      </c>
      <c r="F141" t="str">
        <f>IF(ISNUMBER(MATCH(C141,ListaScanner!A:A,0)),"OK","NÃO")</f>
        <v>NÃO</v>
      </c>
    </row>
    <row r="142" spans="1:6" x14ac:dyDescent="0.3">
      <c r="A142" s="2">
        <f t="shared" si="4"/>
        <v>46079</v>
      </c>
      <c r="B142" t="str">
        <f t="shared" si="5"/>
        <v>FO0603060006</v>
      </c>
      <c r="D142" t="str">
        <f>IFERROR(VLOOKUP(C142,FUNCIONARIOS!A:D,2,FALSE),"")</f>
        <v/>
      </c>
      <c r="E142" t="str">
        <f>IFERROR(VLOOKUP(C142,FUNCIONARIOS!A:D,3,FALSE),"")</f>
        <v/>
      </c>
      <c r="F142" t="str">
        <f>IF(ISNUMBER(MATCH(C142,ListaScanner!A:A,0)),"OK","NÃO")</f>
        <v>NÃO</v>
      </c>
    </row>
    <row r="143" spans="1:6" x14ac:dyDescent="0.3">
      <c r="A143" s="2">
        <f t="shared" si="4"/>
        <v>46079</v>
      </c>
      <c r="B143" t="str">
        <f t="shared" si="5"/>
        <v>FO0603060006</v>
      </c>
      <c r="D143" t="str">
        <f>IFERROR(VLOOKUP(C143,FUNCIONARIOS!A:D,2,FALSE),"")</f>
        <v/>
      </c>
      <c r="E143" t="str">
        <f>IFERROR(VLOOKUP(C143,FUNCIONARIOS!A:D,3,FALSE),"")</f>
        <v/>
      </c>
      <c r="F143" t="str">
        <f>IF(ISNUMBER(MATCH(C143,ListaScanner!A:A,0)),"OK","NÃO")</f>
        <v>NÃO</v>
      </c>
    </row>
    <row r="144" spans="1:6" x14ac:dyDescent="0.3">
      <c r="A144" s="2">
        <f t="shared" si="4"/>
        <v>46079</v>
      </c>
      <c r="B144" t="str">
        <f t="shared" si="5"/>
        <v>FO0603060006</v>
      </c>
      <c r="D144" t="str">
        <f>IFERROR(VLOOKUP(C144,FUNCIONARIOS!A:D,2,FALSE),"")</f>
        <v/>
      </c>
      <c r="E144" t="str">
        <f>IFERROR(VLOOKUP(C144,FUNCIONARIOS!A:D,3,FALSE),"")</f>
        <v/>
      </c>
      <c r="F144" t="str">
        <f>IF(ISNUMBER(MATCH(C144,ListaScanner!A:A,0)),"OK","NÃO")</f>
        <v>NÃO</v>
      </c>
    </row>
    <row r="145" spans="1:6" x14ac:dyDescent="0.3">
      <c r="A145" s="2">
        <f t="shared" si="4"/>
        <v>46079</v>
      </c>
      <c r="B145" t="str">
        <f t="shared" si="5"/>
        <v>FO0603060006</v>
      </c>
      <c r="D145" t="str">
        <f>IFERROR(VLOOKUP(C145,FUNCIONARIOS!A:D,2,FALSE),"")</f>
        <v/>
      </c>
      <c r="E145" t="str">
        <f>IFERROR(VLOOKUP(C145,FUNCIONARIOS!A:D,3,FALSE),"")</f>
        <v/>
      </c>
      <c r="F145" t="str">
        <f>IF(ISNUMBER(MATCH(C145,ListaScanner!A:A,0)),"OK","NÃO")</f>
        <v>NÃO</v>
      </c>
    </row>
    <row r="146" spans="1:6" x14ac:dyDescent="0.3">
      <c r="A146" s="2">
        <f t="shared" si="4"/>
        <v>46079</v>
      </c>
      <c r="B146" t="str">
        <f t="shared" si="5"/>
        <v>FO0603060006</v>
      </c>
      <c r="D146" t="str">
        <f>IFERROR(VLOOKUP(C146,FUNCIONARIOS!A:D,2,FALSE),"")</f>
        <v/>
      </c>
      <c r="E146" t="str">
        <f>IFERROR(VLOOKUP(C146,FUNCIONARIOS!A:D,3,FALSE),"")</f>
        <v/>
      </c>
      <c r="F146" t="str">
        <f>IF(ISNUMBER(MATCH(C146,ListaScanner!A:A,0)),"OK","NÃO")</f>
        <v>NÃO</v>
      </c>
    </row>
    <row r="147" spans="1:6" x14ac:dyDescent="0.3">
      <c r="A147" s="2">
        <f t="shared" si="4"/>
        <v>46079</v>
      </c>
      <c r="B147" t="str">
        <f t="shared" si="5"/>
        <v>FO0603060006</v>
      </c>
      <c r="D147" t="str">
        <f>IFERROR(VLOOKUP(C147,FUNCIONARIOS!A:D,2,FALSE),"")</f>
        <v/>
      </c>
      <c r="E147" t="str">
        <f>IFERROR(VLOOKUP(C147,FUNCIONARIOS!A:D,3,FALSE),"")</f>
        <v/>
      </c>
      <c r="F147" t="str">
        <f>IF(ISNUMBER(MATCH(C147,ListaScanner!A:A,0)),"OK","NÃO")</f>
        <v>NÃO</v>
      </c>
    </row>
    <row r="148" spans="1:6" x14ac:dyDescent="0.3">
      <c r="A148" s="2">
        <f t="shared" si="4"/>
        <v>46079</v>
      </c>
      <c r="B148" t="str">
        <f t="shared" si="5"/>
        <v>FO0603060006</v>
      </c>
      <c r="D148" t="str">
        <f>IFERROR(VLOOKUP(C148,FUNCIONARIOS!A:D,2,FALSE),"")</f>
        <v/>
      </c>
      <c r="E148" t="str">
        <f>IFERROR(VLOOKUP(C148,FUNCIONARIOS!A:D,3,FALSE),"")</f>
        <v/>
      </c>
      <c r="F148" t="str">
        <f>IF(ISNUMBER(MATCH(C148,ListaScanner!A:A,0)),"OK","NÃO")</f>
        <v>NÃO</v>
      </c>
    </row>
    <row r="149" spans="1:6" x14ac:dyDescent="0.3">
      <c r="A149" s="2">
        <f t="shared" si="4"/>
        <v>46079</v>
      </c>
      <c r="B149" t="str">
        <f t="shared" si="5"/>
        <v>FO0603060006</v>
      </c>
      <c r="D149" t="str">
        <f>IFERROR(VLOOKUP(C149,FUNCIONARIOS!A:D,2,FALSE),"")</f>
        <v/>
      </c>
      <c r="E149" t="str">
        <f>IFERROR(VLOOKUP(C149,FUNCIONARIOS!A:D,3,FALSE),"")</f>
        <v/>
      </c>
      <c r="F149" t="str">
        <f>IF(ISNUMBER(MATCH(C149,ListaScanner!A:A,0)),"OK","NÃO")</f>
        <v>NÃO</v>
      </c>
    </row>
    <row r="150" spans="1:6" x14ac:dyDescent="0.3">
      <c r="A150" s="2">
        <f t="shared" si="4"/>
        <v>46079</v>
      </c>
      <c r="B150" t="str">
        <f t="shared" si="5"/>
        <v>FO0603060006</v>
      </c>
      <c r="D150" t="str">
        <f>IFERROR(VLOOKUP(C150,FUNCIONARIOS!A:D,2,FALSE),"")</f>
        <v/>
      </c>
      <c r="E150" t="str">
        <f>IFERROR(VLOOKUP(C150,FUNCIONARIOS!A:D,3,FALSE),"")</f>
        <v/>
      </c>
      <c r="F150" t="str">
        <f>IF(ISNUMBER(MATCH(C150,ListaScanner!A:A,0)),"OK","NÃO")</f>
        <v>NÃO</v>
      </c>
    </row>
    <row r="151" spans="1:6" x14ac:dyDescent="0.3">
      <c r="A151" s="2">
        <f t="shared" si="4"/>
        <v>46079</v>
      </c>
      <c r="B151" t="str">
        <f t="shared" si="5"/>
        <v>FO0603060006</v>
      </c>
      <c r="D151" t="str">
        <f>IFERROR(VLOOKUP(C151,FUNCIONARIOS!A:D,2,FALSE),"")</f>
        <v/>
      </c>
      <c r="E151" t="str">
        <f>IFERROR(VLOOKUP(C151,FUNCIONARIOS!A:D,3,FALSE),"")</f>
        <v/>
      </c>
      <c r="F151" t="str">
        <f>IF(ISNUMBER(MATCH(C151,ListaScanner!A:A,0)),"OK","NÃO")</f>
        <v>NÃO</v>
      </c>
    </row>
    <row r="152" spans="1:6" x14ac:dyDescent="0.3">
      <c r="A152" s="2">
        <f t="shared" si="4"/>
        <v>46079</v>
      </c>
      <c r="B152" t="str">
        <f t="shared" si="5"/>
        <v>FO0603060006</v>
      </c>
      <c r="D152" t="str">
        <f>IFERROR(VLOOKUP(C152,FUNCIONARIOS!A:D,2,FALSE),"")</f>
        <v/>
      </c>
      <c r="E152" t="str">
        <f>IFERROR(VLOOKUP(C152,FUNCIONARIOS!A:D,3,FALSE),"")</f>
        <v/>
      </c>
      <c r="F152" t="str">
        <f>IF(ISNUMBER(MATCH(C152,ListaScanner!A:A,0)),"OK","NÃO")</f>
        <v>NÃO</v>
      </c>
    </row>
    <row r="153" spans="1:6" x14ac:dyDescent="0.3">
      <c r="A153" s="2">
        <f t="shared" si="4"/>
        <v>46079</v>
      </c>
      <c r="B153" t="str">
        <f t="shared" si="5"/>
        <v>FO0603060006</v>
      </c>
      <c r="D153" t="str">
        <f>IFERROR(VLOOKUP(C153,FUNCIONARIOS!A:D,2,FALSE),"")</f>
        <v/>
      </c>
      <c r="E153" t="str">
        <f>IFERROR(VLOOKUP(C153,FUNCIONARIOS!A:D,3,FALSE),"")</f>
        <v/>
      </c>
      <c r="F153" t="str">
        <f>IF(ISNUMBER(MATCH(C153,ListaScanner!A:A,0)),"OK","NÃO")</f>
        <v>NÃO</v>
      </c>
    </row>
    <row r="154" spans="1:6" x14ac:dyDescent="0.3">
      <c r="A154" s="2">
        <f t="shared" si="4"/>
        <v>46079</v>
      </c>
      <c r="B154" t="str">
        <f t="shared" si="5"/>
        <v>FO0603060006</v>
      </c>
      <c r="D154" t="str">
        <f>IFERROR(VLOOKUP(C154,FUNCIONARIOS!A:D,2,FALSE),"")</f>
        <v/>
      </c>
      <c r="E154" t="str">
        <f>IFERROR(VLOOKUP(C154,FUNCIONARIOS!A:D,3,FALSE),"")</f>
        <v/>
      </c>
      <c r="F154" t="str">
        <f>IF(ISNUMBER(MATCH(C154,ListaScanner!A:A,0)),"OK","NÃO")</f>
        <v>NÃO</v>
      </c>
    </row>
    <row r="155" spans="1:6" x14ac:dyDescent="0.3">
      <c r="A155" s="2">
        <f t="shared" si="4"/>
        <v>46079</v>
      </c>
      <c r="B155" t="str">
        <f t="shared" si="5"/>
        <v>FO0603060006</v>
      </c>
      <c r="D155" t="str">
        <f>IFERROR(VLOOKUP(C155,FUNCIONARIOS!A:D,2,FALSE),"")</f>
        <v/>
      </c>
      <c r="E155" t="str">
        <f>IFERROR(VLOOKUP(C155,FUNCIONARIOS!A:D,3,FALSE),"")</f>
        <v/>
      </c>
      <c r="F155" t="str">
        <f>IF(ISNUMBER(MATCH(C155,ListaScanner!A:A,0)),"OK","NÃO")</f>
        <v>NÃO</v>
      </c>
    </row>
    <row r="156" spans="1:6" x14ac:dyDescent="0.3">
      <c r="A156" s="2">
        <f t="shared" si="4"/>
        <v>46079</v>
      </c>
      <c r="B156" t="str">
        <f t="shared" si="5"/>
        <v>FO0603060006</v>
      </c>
      <c r="D156" t="str">
        <f>IFERROR(VLOOKUP(C156,FUNCIONARIOS!A:D,2,FALSE),"")</f>
        <v/>
      </c>
      <c r="E156" t="str">
        <f>IFERROR(VLOOKUP(C156,FUNCIONARIOS!A:D,3,FALSE),"")</f>
        <v/>
      </c>
      <c r="F156" t="str">
        <f>IF(ISNUMBER(MATCH(C156,ListaScanner!A:A,0)),"OK","NÃO")</f>
        <v>NÃO</v>
      </c>
    </row>
    <row r="157" spans="1:6" x14ac:dyDescent="0.3">
      <c r="A157" s="2">
        <f t="shared" si="4"/>
        <v>46079</v>
      </c>
      <c r="B157" t="str">
        <f t="shared" si="5"/>
        <v>FO0603060006</v>
      </c>
      <c r="D157" t="str">
        <f>IFERROR(VLOOKUP(C157,FUNCIONARIOS!A:D,2,FALSE),"")</f>
        <v/>
      </c>
      <c r="E157" t="str">
        <f>IFERROR(VLOOKUP(C157,FUNCIONARIOS!A:D,3,FALSE),"")</f>
        <v/>
      </c>
      <c r="F157" t="str">
        <f>IF(ISNUMBER(MATCH(C157,ListaScanner!A:A,0)),"OK","NÃO")</f>
        <v>NÃO</v>
      </c>
    </row>
    <row r="158" spans="1:6" x14ac:dyDescent="0.3">
      <c r="A158" s="2">
        <f t="shared" si="4"/>
        <v>46079</v>
      </c>
      <c r="B158" t="str">
        <f t="shared" si="5"/>
        <v>FO0603060006</v>
      </c>
      <c r="D158" t="str">
        <f>IFERROR(VLOOKUP(C158,FUNCIONARIOS!A:D,2,FALSE),"")</f>
        <v/>
      </c>
      <c r="E158" t="str">
        <f>IFERROR(VLOOKUP(C158,FUNCIONARIOS!A:D,3,FALSE),"")</f>
        <v/>
      </c>
      <c r="F158" t="str">
        <f>IF(ISNUMBER(MATCH(C158,ListaScanner!A:A,0)),"OK","NÃO")</f>
        <v>NÃO</v>
      </c>
    </row>
    <row r="159" spans="1:6" x14ac:dyDescent="0.3">
      <c r="A159" s="2">
        <f t="shared" si="4"/>
        <v>46079</v>
      </c>
      <c r="B159" t="str">
        <f t="shared" si="5"/>
        <v>FO0603060006</v>
      </c>
      <c r="D159" t="str">
        <f>IFERROR(VLOOKUP(C159,FUNCIONARIOS!A:D,2,FALSE),"")</f>
        <v/>
      </c>
      <c r="E159" t="str">
        <f>IFERROR(VLOOKUP(C159,FUNCIONARIOS!A:D,3,FALSE),"")</f>
        <v/>
      </c>
      <c r="F159" t="str">
        <f>IF(ISNUMBER(MATCH(C159,ListaScanner!A:A,0)),"OK","NÃO")</f>
        <v>NÃO</v>
      </c>
    </row>
    <row r="160" spans="1:6" x14ac:dyDescent="0.3">
      <c r="A160" s="2">
        <f t="shared" si="4"/>
        <v>46079</v>
      </c>
      <c r="B160" t="str">
        <f t="shared" si="5"/>
        <v>FO0603060006</v>
      </c>
      <c r="D160" t="str">
        <f>IFERROR(VLOOKUP(C160,FUNCIONARIOS!A:D,2,FALSE),"")</f>
        <v/>
      </c>
      <c r="E160" t="str">
        <f>IFERROR(VLOOKUP(C160,FUNCIONARIOS!A:D,3,FALSE),"")</f>
        <v/>
      </c>
      <c r="F160" t="str">
        <f>IF(ISNUMBER(MATCH(C160,ListaScanner!A:A,0)),"OK","NÃO")</f>
        <v>NÃO</v>
      </c>
    </row>
    <row r="161" spans="1:6" x14ac:dyDescent="0.3">
      <c r="A161" s="2">
        <f t="shared" si="4"/>
        <v>46079</v>
      </c>
      <c r="B161" t="str">
        <f t="shared" si="5"/>
        <v>FO0603060006</v>
      </c>
      <c r="D161" t="str">
        <f>IFERROR(VLOOKUP(C161,FUNCIONARIOS!A:D,2,FALSE),"")</f>
        <v/>
      </c>
      <c r="E161" t="str">
        <f>IFERROR(VLOOKUP(C161,FUNCIONARIOS!A:D,3,FALSE),"")</f>
        <v/>
      </c>
      <c r="F161" t="str">
        <f>IF(ISNUMBER(MATCH(C161,ListaScanner!A:A,0)),"OK","NÃO")</f>
        <v>NÃO</v>
      </c>
    </row>
    <row r="162" spans="1:6" x14ac:dyDescent="0.3">
      <c r="A162" s="2">
        <f t="shared" si="4"/>
        <v>46079</v>
      </c>
      <c r="B162" t="str">
        <f t="shared" si="5"/>
        <v>FO0603060006</v>
      </c>
      <c r="D162" t="str">
        <f>IFERROR(VLOOKUP(C162,FUNCIONARIOS!A:D,2,FALSE),"")</f>
        <v/>
      </c>
      <c r="E162" t="str">
        <f>IFERROR(VLOOKUP(C162,FUNCIONARIOS!A:D,3,FALSE),"")</f>
        <v/>
      </c>
      <c r="F162" t="str">
        <f>IF(ISNUMBER(MATCH(C162,ListaScanner!A:A,0)),"OK","NÃO")</f>
        <v>NÃO</v>
      </c>
    </row>
    <row r="163" spans="1:6" x14ac:dyDescent="0.3">
      <c r="A163" s="2">
        <f t="shared" si="4"/>
        <v>46079</v>
      </c>
      <c r="B163" t="str">
        <f t="shared" si="5"/>
        <v>FO0603060006</v>
      </c>
      <c r="D163" t="str">
        <f>IFERROR(VLOOKUP(C163,FUNCIONARIOS!A:D,2,FALSE),"")</f>
        <v/>
      </c>
      <c r="E163" t="str">
        <f>IFERROR(VLOOKUP(C163,FUNCIONARIOS!A:D,3,FALSE),"")</f>
        <v/>
      </c>
      <c r="F163" t="str">
        <f>IF(ISNUMBER(MATCH(C163,ListaScanner!A:A,0)),"OK","NÃO")</f>
        <v>NÃO</v>
      </c>
    </row>
    <row r="164" spans="1:6" x14ac:dyDescent="0.3">
      <c r="A164" s="2">
        <f t="shared" si="4"/>
        <v>46079</v>
      </c>
      <c r="B164" t="str">
        <f t="shared" si="5"/>
        <v>FO0603060006</v>
      </c>
      <c r="D164" t="str">
        <f>IFERROR(VLOOKUP(C164,FUNCIONARIOS!A:D,2,FALSE),"")</f>
        <v/>
      </c>
      <c r="E164" t="str">
        <f>IFERROR(VLOOKUP(C164,FUNCIONARIOS!A:D,3,FALSE),"")</f>
        <v/>
      </c>
      <c r="F164" t="str">
        <f>IF(ISNUMBER(MATCH(C164,ListaScanner!A:A,0)),"OK","NÃO")</f>
        <v>NÃO</v>
      </c>
    </row>
    <row r="165" spans="1:6" x14ac:dyDescent="0.3">
      <c r="A165" s="2">
        <f t="shared" si="4"/>
        <v>46079</v>
      </c>
      <c r="B165" t="str">
        <f t="shared" si="5"/>
        <v>FO0603060006</v>
      </c>
      <c r="D165" t="str">
        <f>IFERROR(VLOOKUP(C165,FUNCIONARIOS!A:D,2,FALSE),"")</f>
        <v/>
      </c>
      <c r="E165" t="str">
        <f>IFERROR(VLOOKUP(C165,FUNCIONARIOS!A:D,3,FALSE),"")</f>
        <v/>
      </c>
      <c r="F165" t="str">
        <f>IF(ISNUMBER(MATCH(C165,ListaScanner!A:A,0)),"OK","NÃO")</f>
        <v>NÃO</v>
      </c>
    </row>
    <row r="166" spans="1:6" x14ac:dyDescent="0.3">
      <c r="A166" s="2">
        <f t="shared" si="4"/>
        <v>46079</v>
      </c>
      <c r="B166" t="str">
        <f t="shared" si="5"/>
        <v>FO0603060006</v>
      </c>
      <c r="D166" t="str">
        <f>IFERROR(VLOOKUP(C166,FUNCIONARIOS!A:D,2,FALSE),"")</f>
        <v/>
      </c>
      <c r="E166" t="str">
        <f>IFERROR(VLOOKUP(C166,FUNCIONARIOS!A:D,3,FALSE),"")</f>
        <v/>
      </c>
      <c r="F166" t="str">
        <f>IF(ISNUMBER(MATCH(C166,ListaScanner!A:A,0)),"OK","NÃO")</f>
        <v>NÃO</v>
      </c>
    </row>
    <row r="167" spans="1:6" x14ac:dyDescent="0.3">
      <c r="A167" s="2">
        <f t="shared" si="4"/>
        <v>46079</v>
      </c>
      <c r="B167" t="str">
        <f t="shared" si="5"/>
        <v>FO0603060006</v>
      </c>
      <c r="D167" t="str">
        <f>IFERROR(VLOOKUP(C167,FUNCIONARIOS!A:D,2,FALSE),"")</f>
        <v/>
      </c>
      <c r="E167" t="str">
        <f>IFERROR(VLOOKUP(C167,FUNCIONARIOS!A:D,3,FALSE),"")</f>
        <v/>
      </c>
      <c r="F167" t="str">
        <f>IF(ISNUMBER(MATCH(C167,ListaScanner!A:A,0)),"OK","NÃO")</f>
        <v>NÃO</v>
      </c>
    </row>
    <row r="168" spans="1:6" x14ac:dyDescent="0.3">
      <c r="A168" s="2">
        <f t="shared" si="4"/>
        <v>46079</v>
      </c>
      <c r="B168" t="str">
        <f t="shared" si="5"/>
        <v>FO0603060006</v>
      </c>
      <c r="D168" t="str">
        <f>IFERROR(VLOOKUP(C168,FUNCIONARIOS!A:D,2,FALSE),"")</f>
        <v/>
      </c>
      <c r="E168" t="str">
        <f>IFERROR(VLOOKUP(C168,FUNCIONARIOS!A:D,3,FALSE),"")</f>
        <v/>
      </c>
      <c r="F168" t="str">
        <f>IF(ISNUMBER(MATCH(C168,ListaScanner!A:A,0)),"OK","NÃO")</f>
        <v>NÃO</v>
      </c>
    </row>
    <row r="169" spans="1:6" x14ac:dyDescent="0.3">
      <c r="A169" s="2">
        <f t="shared" si="4"/>
        <v>46079</v>
      </c>
      <c r="B169" t="str">
        <f t="shared" si="5"/>
        <v>FO0603060006</v>
      </c>
      <c r="D169" t="str">
        <f>IFERROR(VLOOKUP(C169,FUNCIONARIOS!A:D,2,FALSE),"")</f>
        <v/>
      </c>
      <c r="E169" t="str">
        <f>IFERROR(VLOOKUP(C169,FUNCIONARIOS!A:D,3,FALSE),"")</f>
        <v/>
      </c>
      <c r="F169" t="str">
        <f>IF(ISNUMBER(MATCH(C169,ListaScanner!A:A,0)),"OK","NÃO")</f>
        <v>NÃO</v>
      </c>
    </row>
    <row r="170" spans="1:6" x14ac:dyDescent="0.3">
      <c r="A170" s="2">
        <f t="shared" si="4"/>
        <v>46079</v>
      </c>
      <c r="B170" t="str">
        <f t="shared" si="5"/>
        <v>FO0603060006</v>
      </c>
      <c r="D170" t="str">
        <f>IFERROR(VLOOKUP(C170,FUNCIONARIOS!A:D,2,FALSE),"")</f>
        <v/>
      </c>
      <c r="E170" t="str">
        <f>IFERROR(VLOOKUP(C170,FUNCIONARIOS!A:D,3,FALSE),"")</f>
        <v/>
      </c>
      <c r="F170" t="str">
        <f>IF(ISNUMBER(MATCH(C170,ListaScanner!A:A,0)),"OK","NÃO")</f>
        <v>NÃO</v>
      </c>
    </row>
    <row r="171" spans="1:6" x14ac:dyDescent="0.3">
      <c r="A171" s="2">
        <f t="shared" si="4"/>
        <v>46079</v>
      </c>
      <c r="B171" t="str">
        <f t="shared" si="5"/>
        <v>FO0603060006</v>
      </c>
      <c r="D171" t="str">
        <f>IFERROR(VLOOKUP(C171,FUNCIONARIOS!A:D,2,FALSE),"")</f>
        <v/>
      </c>
      <c r="E171" t="str">
        <f>IFERROR(VLOOKUP(C171,FUNCIONARIOS!A:D,3,FALSE),"")</f>
        <v/>
      </c>
      <c r="F171" t="str">
        <f>IF(ISNUMBER(MATCH(C171,ListaScanner!A:A,0)),"OK","NÃO")</f>
        <v>NÃO</v>
      </c>
    </row>
    <row r="172" spans="1:6" x14ac:dyDescent="0.3">
      <c r="A172" s="2">
        <f t="shared" si="4"/>
        <v>46079</v>
      </c>
      <c r="B172" t="str">
        <f t="shared" si="5"/>
        <v>FO0603060006</v>
      </c>
      <c r="D172" t="str">
        <f>IFERROR(VLOOKUP(C172,FUNCIONARIOS!A:D,2,FALSE),"")</f>
        <v/>
      </c>
      <c r="E172" t="str">
        <f>IFERROR(VLOOKUP(C172,FUNCIONARIOS!A:D,3,FALSE),"")</f>
        <v/>
      </c>
      <c r="F172" t="str">
        <f>IF(ISNUMBER(MATCH(C172,ListaScanner!A:A,0)),"OK","NÃO")</f>
        <v>NÃO</v>
      </c>
    </row>
    <row r="173" spans="1:6" x14ac:dyDescent="0.3">
      <c r="A173" s="2">
        <f t="shared" si="4"/>
        <v>46079</v>
      </c>
      <c r="B173" t="str">
        <f t="shared" si="5"/>
        <v>FO0603060006</v>
      </c>
      <c r="D173" t="str">
        <f>IFERROR(VLOOKUP(C173,FUNCIONARIOS!A:D,2,FALSE),"")</f>
        <v/>
      </c>
      <c r="E173" t="str">
        <f>IFERROR(VLOOKUP(C173,FUNCIONARIOS!A:D,3,FALSE),"")</f>
        <v/>
      </c>
      <c r="F173" t="str">
        <f>IF(ISNUMBER(MATCH(C173,ListaScanner!A:A,0)),"OK","NÃO")</f>
        <v>NÃO</v>
      </c>
    </row>
    <row r="174" spans="1:6" x14ac:dyDescent="0.3">
      <c r="A174" s="2">
        <f t="shared" si="4"/>
        <v>46079</v>
      </c>
      <c r="B174" t="str">
        <f t="shared" si="5"/>
        <v>FO0603060006</v>
      </c>
      <c r="D174" t="str">
        <f>IFERROR(VLOOKUP(C174,FUNCIONARIOS!A:D,2,FALSE),"")</f>
        <v/>
      </c>
      <c r="E174" t="str">
        <f>IFERROR(VLOOKUP(C174,FUNCIONARIOS!A:D,3,FALSE),"")</f>
        <v/>
      </c>
      <c r="F174" t="str">
        <f>IF(ISNUMBER(MATCH(C174,ListaScanner!A:A,0)),"OK","NÃO")</f>
        <v>NÃO</v>
      </c>
    </row>
    <row r="175" spans="1:6" x14ac:dyDescent="0.3">
      <c r="A175" s="2">
        <f t="shared" si="4"/>
        <v>46079</v>
      </c>
      <c r="B175" t="str">
        <f t="shared" si="5"/>
        <v>FO0603060006</v>
      </c>
      <c r="D175" t="str">
        <f>IFERROR(VLOOKUP(C175,FUNCIONARIOS!A:D,2,FALSE),"")</f>
        <v/>
      </c>
      <c r="E175" t="str">
        <f>IFERROR(VLOOKUP(C175,FUNCIONARIOS!A:D,3,FALSE),"")</f>
        <v/>
      </c>
      <c r="F175" t="str">
        <f>IF(ISNUMBER(MATCH(C175,ListaScanner!A:A,0)),"OK","NÃO")</f>
        <v>NÃO</v>
      </c>
    </row>
    <row r="176" spans="1:6" x14ac:dyDescent="0.3">
      <c r="A176" s="2">
        <f t="shared" si="4"/>
        <v>46079</v>
      </c>
      <c r="B176" t="str">
        <f t="shared" si="5"/>
        <v>FO0603060006</v>
      </c>
      <c r="D176" t="str">
        <f>IFERROR(VLOOKUP(C176,FUNCIONARIOS!A:D,2,FALSE),"")</f>
        <v/>
      </c>
      <c r="E176" t="str">
        <f>IFERROR(VLOOKUP(C176,FUNCIONARIOS!A:D,3,FALSE),"")</f>
        <v/>
      </c>
      <c r="F176" t="str">
        <f>IF(ISNUMBER(MATCH(C176,ListaScanner!A:A,0)),"OK","NÃO")</f>
        <v>NÃO</v>
      </c>
    </row>
    <row r="177" spans="1:6" x14ac:dyDescent="0.3">
      <c r="A177" s="2">
        <f t="shared" si="4"/>
        <v>46079</v>
      </c>
      <c r="B177" t="str">
        <f t="shared" si="5"/>
        <v>FO0603060006</v>
      </c>
      <c r="D177" t="str">
        <f>IFERROR(VLOOKUP(C177,FUNCIONARIOS!A:D,2,FALSE),"")</f>
        <v/>
      </c>
      <c r="E177" t="str">
        <f>IFERROR(VLOOKUP(C177,FUNCIONARIOS!A:D,3,FALSE),"")</f>
        <v/>
      </c>
      <c r="F177" t="str">
        <f>IF(ISNUMBER(MATCH(C177,ListaScanner!A:A,0)),"OK","NÃO")</f>
        <v>NÃO</v>
      </c>
    </row>
    <row r="178" spans="1:6" x14ac:dyDescent="0.3">
      <c r="A178" s="2">
        <f t="shared" si="4"/>
        <v>46079</v>
      </c>
      <c r="B178" t="str">
        <f t="shared" si="5"/>
        <v>FO0603060006</v>
      </c>
      <c r="D178" t="str">
        <f>IFERROR(VLOOKUP(C178,FUNCIONARIOS!A:D,2,FALSE),"")</f>
        <v/>
      </c>
      <c r="E178" t="str">
        <f>IFERROR(VLOOKUP(C178,FUNCIONARIOS!A:D,3,FALSE),"")</f>
        <v/>
      </c>
      <c r="F178" t="str">
        <f>IF(ISNUMBER(MATCH(C178,ListaScanner!A:A,0)),"OK","NÃO")</f>
        <v>NÃO</v>
      </c>
    </row>
    <row r="179" spans="1:6" x14ac:dyDescent="0.3">
      <c r="A179" s="2">
        <f t="shared" si="4"/>
        <v>46079</v>
      </c>
      <c r="B179" t="str">
        <f t="shared" si="5"/>
        <v>FO0603060006</v>
      </c>
      <c r="D179" t="str">
        <f>IFERROR(VLOOKUP(C179,FUNCIONARIOS!A:D,2,FALSE),"")</f>
        <v/>
      </c>
      <c r="E179" t="str">
        <f>IFERROR(VLOOKUP(C179,FUNCIONARIOS!A:D,3,FALSE),"")</f>
        <v/>
      </c>
      <c r="F179" t="str">
        <f>IF(ISNUMBER(MATCH(C179,ListaScanner!A:A,0)),"OK","NÃO")</f>
        <v>NÃO</v>
      </c>
    </row>
    <row r="180" spans="1:6" x14ac:dyDescent="0.3">
      <c r="A180" s="2">
        <f t="shared" si="4"/>
        <v>46079</v>
      </c>
      <c r="B180" t="str">
        <f t="shared" si="5"/>
        <v>FO0603060006</v>
      </c>
      <c r="D180" t="str">
        <f>IFERROR(VLOOKUP(C180,FUNCIONARIOS!A:D,2,FALSE),"")</f>
        <v/>
      </c>
      <c r="E180" t="str">
        <f>IFERROR(VLOOKUP(C180,FUNCIONARIOS!A:D,3,FALSE),"")</f>
        <v/>
      </c>
      <c r="F180" t="str">
        <f>IF(ISNUMBER(MATCH(C180,ListaScanner!A:A,0)),"OK","NÃO")</f>
        <v>NÃO</v>
      </c>
    </row>
    <row r="181" spans="1:6" x14ac:dyDescent="0.3">
      <c r="A181" s="2">
        <f t="shared" si="4"/>
        <v>46079</v>
      </c>
      <c r="B181" t="str">
        <f t="shared" si="5"/>
        <v>FO0603060006</v>
      </c>
      <c r="D181" t="str">
        <f>IFERROR(VLOOKUP(C181,FUNCIONARIOS!A:D,2,FALSE),"")</f>
        <v/>
      </c>
      <c r="E181" t="str">
        <f>IFERROR(VLOOKUP(C181,FUNCIONARIOS!A:D,3,FALSE),"")</f>
        <v/>
      </c>
      <c r="F181" t="str">
        <f>IF(ISNUMBER(MATCH(C181,ListaScanner!A:A,0)),"OK","NÃO")</f>
        <v>NÃO</v>
      </c>
    </row>
    <row r="182" spans="1:6" x14ac:dyDescent="0.3">
      <c r="A182" s="2">
        <f t="shared" si="4"/>
        <v>46079</v>
      </c>
      <c r="B182" t="str">
        <f t="shared" si="5"/>
        <v>FO0603060006</v>
      </c>
      <c r="D182" t="str">
        <f>IFERROR(VLOOKUP(C182,FUNCIONARIOS!A:D,2,FALSE),"")</f>
        <v/>
      </c>
      <c r="E182" t="str">
        <f>IFERROR(VLOOKUP(C182,FUNCIONARIOS!A:D,3,FALSE),"")</f>
        <v/>
      </c>
      <c r="F182" t="str">
        <f>IF(ISNUMBER(MATCH(C182,ListaScanner!A:A,0)),"OK","NÃO")</f>
        <v>NÃO</v>
      </c>
    </row>
    <row r="183" spans="1:6" x14ac:dyDescent="0.3">
      <c r="A183" s="2">
        <f t="shared" si="4"/>
        <v>46079</v>
      </c>
      <c r="B183" t="str">
        <f t="shared" si="5"/>
        <v>FO0603060006</v>
      </c>
      <c r="D183" t="str">
        <f>IFERROR(VLOOKUP(C183,FUNCIONARIOS!A:D,2,FALSE),"")</f>
        <v/>
      </c>
      <c r="E183" t="str">
        <f>IFERROR(VLOOKUP(C183,FUNCIONARIOS!A:D,3,FALSE),"")</f>
        <v/>
      </c>
      <c r="F183" t="str">
        <f>IF(ISNUMBER(MATCH(C183,ListaScanner!A:A,0)),"OK","NÃO")</f>
        <v>NÃO</v>
      </c>
    </row>
    <row r="184" spans="1:6" x14ac:dyDescent="0.3">
      <c r="A184" s="2">
        <f t="shared" si="4"/>
        <v>46079</v>
      </c>
      <c r="B184" t="str">
        <f t="shared" si="5"/>
        <v>FO0603060006</v>
      </c>
      <c r="D184" t="str">
        <f>IFERROR(VLOOKUP(C184,FUNCIONARIOS!A:D,2,FALSE),"")</f>
        <v/>
      </c>
      <c r="E184" t="str">
        <f>IFERROR(VLOOKUP(C184,FUNCIONARIOS!A:D,3,FALSE),"")</f>
        <v/>
      </c>
      <c r="F184" t="str">
        <f>IF(ISNUMBER(MATCH(C184,ListaScanner!A:A,0)),"OK","NÃO")</f>
        <v>NÃO</v>
      </c>
    </row>
    <row r="185" spans="1:6" x14ac:dyDescent="0.3">
      <c r="A185" s="2">
        <f t="shared" si="4"/>
        <v>46079</v>
      </c>
      <c r="B185" t="str">
        <f t="shared" si="5"/>
        <v>FO0603060006</v>
      </c>
      <c r="D185" t="str">
        <f>IFERROR(VLOOKUP(C185,FUNCIONARIOS!A:D,2,FALSE),"")</f>
        <v/>
      </c>
      <c r="E185" t="str">
        <f>IFERROR(VLOOKUP(C185,FUNCIONARIOS!A:D,3,FALSE),"")</f>
        <v/>
      </c>
      <c r="F185" t="str">
        <f>IF(ISNUMBER(MATCH(C185,ListaScanner!A:A,0)),"OK","NÃO")</f>
        <v>NÃO</v>
      </c>
    </row>
    <row r="186" spans="1:6" x14ac:dyDescent="0.3">
      <c r="A186" s="2">
        <f t="shared" si="4"/>
        <v>46079</v>
      </c>
      <c r="B186" t="str">
        <f t="shared" si="5"/>
        <v>FO0603060006</v>
      </c>
      <c r="D186" t="str">
        <f>IFERROR(VLOOKUP(C186,FUNCIONARIOS!A:D,2,FALSE),"")</f>
        <v/>
      </c>
      <c r="E186" t="str">
        <f>IFERROR(VLOOKUP(C186,FUNCIONARIOS!A:D,3,FALSE),"")</f>
        <v/>
      </c>
      <c r="F186" t="str">
        <f>IF(ISNUMBER(MATCH(C186,ListaScanner!A:A,0)),"OK","NÃO")</f>
        <v>NÃO</v>
      </c>
    </row>
    <row r="187" spans="1:6" x14ac:dyDescent="0.3">
      <c r="A187" s="2">
        <f t="shared" si="4"/>
        <v>46079</v>
      </c>
      <c r="B187" t="str">
        <f t="shared" si="5"/>
        <v>FO0603060006</v>
      </c>
      <c r="D187" t="str">
        <f>IFERROR(VLOOKUP(C187,FUNCIONARIOS!A:D,2,FALSE),"")</f>
        <v/>
      </c>
      <c r="E187" t="str">
        <f>IFERROR(VLOOKUP(C187,FUNCIONARIOS!A:D,3,FALSE),"")</f>
        <v/>
      </c>
      <c r="F187" t="str">
        <f>IF(ISNUMBER(MATCH(C187,ListaScanner!A:A,0)),"OK","NÃO")</f>
        <v>NÃO</v>
      </c>
    </row>
    <row r="188" spans="1:6" x14ac:dyDescent="0.3">
      <c r="A188" s="2">
        <f t="shared" si="4"/>
        <v>46079</v>
      </c>
      <c r="B188" t="str">
        <f t="shared" si="5"/>
        <v>FO0603060006</v>
      </c>
      <c r="D188" t="str">
        <f>IFERROR(VLOOKUP(C188,FUNCIONARIOS!A:D,2,FALSE),"")</f>
        <v/>
      </c>
      <c r="E188" t="str">
        <f>IFERROR(VLOOKUP(C188,FUNCIONARIOS!A:D,3,FALSE),"")</f>
        <v/>
      </c>
      <c r="F188" t="str">
        <f>IF(ISNUMBER(MATCH(C188,ListaScanner!A:A,0)),"OK","NÃO")</f>
        <v>NÃO</v>
      </c>
    </row>
    <row r="189" spans="1:6" x14ac:dyDescent="0.3">
      <c r="A189" s="2">
        <f t="shared" si="4"/>
        <v>46079</v>
      </c>
      <c r="B189" t="str">
        <f t="shared" si="5"/>
        <v>FO0603060006</v>
      </c>
      <c r="D189" t="str">
        <f>IFERROR(VLOOKUP(C189,FUNCIONARIOS!A:D,2,FALSE),"")</f>
        <v/>
      </c>
      <c r="E189" t="str">
        <f>IFERROR(VLOOKUP(C189,FUNCIONARIOS!A:D,3,FALSE),"")</f>
        <v/>
      </c>
      <c r="F189" t="str">
        <f>IF(ISNUMBER(MATCH(C189,ListaScanner!A:A,0)),"OK","NÃO")</f>
        <v>NÃO</v>
      </c>
    </row>
    <row r="190" spans="1:6" x14ac:dyDescent="0.3">
      <c r="A190" s="2">
        <f t="shared" si="4"/>
        <v>46079</v>
      </c>
      <c r="B190" t="str">
        <f t="shared" si="5"/>
        <v>FO0603060006</v>
      </c>
      <c r="D190" t="str">
        <f>IFERROR(VLOOKUP(C190,FUNCIONARIOS!A:D,2,FALSE),"")</f>
        <v/>
      </c>
      <c r="E190" t="str">
        <f>IFERROR(VLOOKUP(C190,FUNCIONARIOS!A:D,3,FALSE),"")</f>
        <v/>
      </c>
      <c r="F190" t="str">
        <f>IF(ISNUMBER(MATCH(C190,ListaScanner!A:A,0)),"OK","NÃO")</f>
        <v>NÃO</v>
      </c>
    </row>
    <row r="191" spans="1:6" x14ac:dyDescent="0.3">
      <c r="A191" s="2">
        <f t="shared" si="4"/>
        <v>46079</v>
      </c>
      <c r="B191" t="str">
        <f t="shared" si="5"/>
        <v>FO0603060006</v>
      </c>
      <c r="D191" t="str">
        <f>IFERROR(VLOOKUP(C191,FUNCIONARIOS!A:D,2,FALSE),"")</f>
        <v/>
      </c>
      <c r="E191" t="str">
        <f>IFERROR(VLOOKUP(C191,FUNCIONARIOS!A:D,3,FALSE),"")</f>
        <v/>
      </c>
      <c r="F191" t="str">
        <f>IF(ISNUMBER(MATCH(C191,ListaScanner!A:A,0)),"OK","NÃO")</f>
        <v>NÃO</v>
      </c>
    </row>
    <row r="192" spans="1:6" x14ac:dyDescent="0.3">
      <c r="A192" s="2">
        <f t="shared" si="4"/>
        <v>46079</v>
      </c>
      <c r="B192" t="str">
        <f t="shared" si="5"/>
        <v>FO0603060006</v>
      </c>
      <c r="D192" t="str">
        <f>IFERROR(VLOOKUP(C192,FUNCIONARIOS!A:D,2,FALSE),"")</f>
        <v/>
      </c>
      <c r="E192" t="str">
        <f>IFERROR(VLOOKUP(C192,FUNCIONARIOS!A:D,3,FALSE),"")</f>
        <v/>
      </c>
      <c r="F192" t="str">
        <f>IF(ISNUMBER(MATCH(C192,ListaScanner!A:A,0)),"OK","NÃO")</f>
        <v>NÃO</v>
      </c>
    </row>
    <row r="193" spans="1:6" x14ac:dyDescent="0.3">
      <c r="A193" s="2">
        <f t="shared" si="4"/>
        <v>46079</v>
      </c>
      <c r="B193" t="str">
        <f t="shared" si="5"/>
        <v>FO0603060006</v>
      </c>
      <c r="D193" t="str">
        <f>IFERROR(VLOOKUP(C193,FUNCIONARIOS!A:D,2,FALSE),"")</f>
        <v/>
      </c>
      <c r="E193" t="str">
        <f>IFERROR(VLOOKUP(C193,FUNCIONARIOS!A:D,3,FALSE),"")</f>
        <v/>
      </c>
      <c r="F193" t="str">
        <f>IF(ISNUMBER(MATCH(C193,ListaScanner!A:A,0)),"OK","NÃO")</f>
        <v>NÃO</v>
      </c>
    </row>
    <row r="194" spans="1:6" x14ac:dyDescent="0.3">
      <c r="A194" s="2">
        <f t="shared" si="4"/>
        <v>46079</v>
      </c>
      <c r="B194" t="str">
        <f t="shared" si="5"/>
        <v>FO0603060006</v>
      </c>
      <c r="D194" t="str">
        <f>IFERROR(VLOOKUP(C194,FUNCIONARIOS!A:D,2,FALSE),"")</f>
        <v/>
      </c>
      <c r="E194" t="str">
        <f>IFERROR(VLOOKUP(C194,FUNCIONARIOS!A:D,3,FALSE),"")</f>
        <v/>
      </c>
      <c r="F194" t="str">
        <f>IF(ISNUMBER(MATCH(C194,ListaScanner!A:A,0)),"OK","NÃO")</f>
        <v>NÃO</v>
      </c>
    </row>
    <row r="195" spans="1:6" x14ac:dyDescent="0.3">
      <c r="A195" s="2">
        <f t="shared" si="4"/>
        <v>46079</v>
      </c>
      <c r="B195" t="str">
        <f t="shared" si="5"/>
        <v>FO0603060006</v>
      </c>
      <c r="D195" t="str">
        <f>IFERROR(VLOOKUP(C195,FUNCIONARIOS!A:D,2,FALSE),"")</f>
        <v/>
      </c>
      <c r="E195" t="str">
        <f>IFERROR(VLOOKUP(C195,FUNCIONARIOS!A:D,3,FALSE),"")</f>
        <v/>
      </c>
      <c r="F195" t="str">
        <f>IF(ISNUMBER(MATCH(C195,ListaScanner!A:A,0)),"OK","NÃO")</f>
        <v>NÃO</v>
      </c>
    </row>
    <row r="196" spans="1:6" x14ac:dyDescent="0.3">
      <c r="A196" s="2">
        <f t="shared" si="4"/>
        <v>46079</v>
      </c>
      <c r="B196" t="str">
        <f t="shared" si="5"/>
        <v>FO0603060006</v>
      </c>
      <c r="D196" t="str">
        <f>IFERROR(VLOOKUP(C196,FUNCIONARIOS!A:D,2,FALSE),"")</f>
        <v/>
      </c>
      <c r="E196" t="str">
        <f>IFERROR(VLOOKUP(C196,FUNCIONARIOS!A:D,3,FALSE),"")</f>
        <v/>
      </c>
      <c r="F196" t="str">
        <f>IF(ISNUMBER(MATCH(C196,ListaScanner!A:A,0)),"OK","NÃO")</f>
        <v>NÃO</v>
      </c>
    </row>
    <row r="197" spans="1:6" x14ac:dyDescent="0.3">
      <c r="A197" s="2">
        <f t="shared" si="4"/>
        <v>46079</v>
      </c>
      <c r="B197" t="str">
        <f t="shared" si="5"/>
        <v>FO0603060006</v>
      </c>
      <c r="D197" t="str">
        <f>IFERROR(VLOOKUP(C197,FUNCIONARIOS!A:D,2,FALSE),"")</f>
        <v/>
      </c>
      <c r="E197" t="str">
        <f>IFERROR(VLOOKUP(C197,FUNCIONARIOS!A:D,3,FALSE),"")</f>
        <v/>
      </c>
      <c r="F197" t="str">
        <f>IF(ISNUMBER(MATCH(C197,ListaScanner!A:A,0)),"OK","NÃO")</f>
        <v>NÃO</v>
      </c>
    </row>
    <row r="198" spans="1:6" x14ac:dyDescent="0.3">
      <c r="A198" s="2">
        <f t="shared" ref="A198:A217" si="6">$C$1</f>
        <v>46079</v>
      </c>
      <c r="B198" t="str">
        <f t="shared" ref="B198:B204" si="7">$C$2</f>
        <v>FO0603060006</v>
      </c>
      <c r="D198" t="str">
        <f>IFERROR(VLOOKUP(C198,FUNCIONARIOS!A:D,2,FALSE),"")</f>
        <v/>
      </c>
      <c r="E198" t="str">
        <f>IFERROR(VLOOKUP(C198,FUNCIONARIOS!A:D,3,FALSE),"")</f>
        <v/>
      </c>
      <c r="F198" t="str">
        <f>IF(ISNUMBER(MATCH(C198,ListaScanner!A:A,0)),"OK","NÃO")</f>
        <v>NÃO</v>
      </c>
    </row>
    <row r="199" spans="1:6" x14ac:dyDescent="0.3">
      <c r="A199" s="2">
        <f t="shared" si="6"/>
        <v>46079</v>
      </c>
      <c r="B199" t="str">
        <f t="shared" si="7"/>
        <v>FO0603060006</v>
      </c>
      <c r="D199" t="str">
        <f>IFERROR(VLOOKUP(C199,FUNCIONARIOS!A:D,2,FALSE),"")</f>
        <v/>
      </c>
      <c r="E199" t="str">
        <f>IFERROR(VLOOKUP(C199,FUNCIONARIOS!A:D,3,FALSE),"")</f>
        <v/>
      </c>
      <c r="F199" t="str">
        <f>IF(ISNUMBER(MATCH(C199,ListaScanner!A:A,0)),"OK","NÃO")</f>
        <v>NÃO</v>
      </c>
    </row>
    <row r="200" spans="1:6" x14ac:dyDescent="0.3">
      <c r="A200" s="2">
        <f t="shared" si="6"/>
        <v>46079</v>
      </c>
      <c r="B200" t="str">
        <f t="shared" si="7"/>
        <v>FO0603060006</v>
      </c>
      <c r="D200" t="str">
        <f>IFERROR(VLOOKUP(C200,FUNCIONARIOS!A:D,2,FALSE),"")</f>
        <v/>
      </c>
      <c r="E200" t="str">
        <f>IFERROR(VLOOKUP(C200,FUNCIONARIOS!A:D,3,FALSE),"")</f>
        <v/>
      </c>
      <c r="F200" t="str">
        <f>IF(ISNUMBER(MATCH(C200,ListaScanner!A:A,0)),"OK","NÃO")</f>
        <v>NÃO</v>
      </c>
    </row>
    <row r="201" spans="1:6" x14ac:dyDescent="0.3">
      <c r="A201" s="2">
        <f t="shared" si="6"/>
        <v>46079</v>
      </c>
      <c r="B201" t="str">
        <f t="shared" si="7"/>
        <v>FO0603060006</v>
      </c>
      <c r="D201" t="str">
        <f>IFERROR(VLOOKUP(C201,FUNCIONARIOS!A:D,2,FALSE),"")</f>
        <v/>
      </c>
      <c r="E201" t="str">
        <f>IFERROR(VLOOKUP(C201,FUNCIONARIOS!A:D,3,FALSE),"")</f>
        <v/>
      </c>
      <c r="F201" t="str">
        <f>IF(ISNUMBER(MATCH(C201,ListaScanner!A:A,0)),"OK","NÃO")</f>
        <v>NÃO</v>
      </c>
    </row>
    <row r="202" spans="1:6" x14ac:dyDescent="0.3">
      <c r="A202" s="2">
        <f t="shared" si="6"/>
        <v>46079</v>
      </c>
      <c r="B202" t="str">
        <f t="shared" si="7"/>
        <v>FO0603060006</v>
      </c>
      <c r="D202" t="str">
        <f>IFERROR(VLOOKUP(C202,FUNCIONARIOS!A:D,2,FALSE),"")</f>
        <v/>
      </c>
      <c r="E202" t="str">
        <f>IFERROR(VLOOKUP(C202,FUNCIONARIOS!A:D,3,FALSE),"")</f>
        <v/>
      </c>
      <c r="F202" t="str">
        <f>IF(ISNUMBER(MATCH(C202,ListaScanner!A:A,0)),"OK","NÃO")</f>
        <v>NÃO</v>
      </c>
    </row>
    <row r="203" spans="1:6" x14ac:dyDescent="0.3">
      <c r="A203" s="2">
        <f t="shared" si="6"/>
        <v>46079</v>
      </c>
      <c r="B203" t="str">
        <f t="shared" si="7"/>
        <v>FO0603060006</v>
      </c>
      <c r="D203" t="str">
        <f>IFERROR(VLOOKUP(C203,FUNCIONARIOS!A:D,2,FALSE),"")</f>
        <v/>
      </c>
      <c r="E203" t="str">
        <f>IFERROR(VLOOKUP(C203,FUNCIONARIOS!A:D,3,FALSE),"")</f>
        <v/>
      </c>
      <c r="F203" t="str">
        <f>IF(ISNUMBER(MATCH(C203,ListaScanner!A:A,0)),"OK","NÃO")</f>
        <v>NÃO</v>
      </c>
    </row>
    <row r="204" spans="1:6" x14ac:dyDescent="0.3">
      <c r="A204" s="2">
        <f t="shared" si="6"/>
        <v>46079</v>
      </c>
      <c r="B204" t="str">
        <f t="shared" si="7"/>
        <v>FO0603060006</v>
      </c>
      <c r="D204" t="str">
        <f>IFERROR(VLOOKUP(C204,FUNCIONARIOS!A:D,2,FALSE),"")</f>
        <v/>
      </c>
      <c r="E204" t="str">
        <f>IFERROR(VLOOKUP(C204,FUNCIONARIOS!A:D,3,FALSE),"")</f>
        <v/>
      </c>
      <c r="F204" t="str">
        <f>IF(ISNUMBER(MATCH(C204,ListaScanner!A:A,0)),"OK","NÃO")</f>
        <v>NÃO</v>
      </c>
    </row>
    <row r="205" spans="1:6" x14ac:dyDescent="0.3">
      <c r="A205" s="2">
        <f t="shared" si="6"/>
        <v>46079</v>
      </c>
    </row>
    <row r="206" spans="1:6" x14ac:dyDescent="0.3">
      <c r="A206" s="2">
        <f t="shared" si="6"/>
        <v>46079</v>
      </c>
    </row>
    <row r="207" spans="1:6" x14ac:dyDescent="0.3">
      <c r="A207" s="2">
        <f t="shared" si="6"/>
        <v>46079</v>
      </c>
    </row>
    <row r="208" spans="1:6" x14ac:dyDescent="0.3">
      <c r="A208" s="2">
        <f t="shared" si="6"/>
        <v>46079</v>
      </c>
    </row>
    <row r="209" spans="1:1" x14ac:dyDescent="0.3">
      <c r="A209" s="2">
        <f t="shared" si="6"/>
        <v>46079</v>
      </c>
    </row>
    <row r="210" spans="1:1" x14ac:dyDescent="0.3">
      <c r="A210" s="2">
        <f t="shared" si="6"/>
        <v>46079</v>
      </c>
    </row>
    <row r="211" spans="1:1" x14ac:dyDescent="0.3">
      <c r="A211" s="2">
        <f t="shared" si="6"/>
        <v>46079</v>
      </c>
    </row>
    <row r="212" spans="1:1" x14ac:dyDescent="0.3">
      <c r="A212" s="2">
        <f t="shared" si="6"/>
        <v>46079</v>
      </c>
    </row>
    <row r="213" spans="1:1" x14ac:dyDescent="0.3">
      <c r="A213" s="2">
        <f t="shared" si="6"/>
        <v>46079</v>
      </c>
    </row>
    <row r="214" spans="1:1" x14ac:dyDescent="0.3">
      <c r="A214" s="2">
        <f t="shared" si="6"/>
        <v>46079</v>
      </c>
    </row>
    <row r="215" spans="1:1" x14ac:dyDescent="0.3">
      <c r="A215" s="2">
        <f t="shared" si="6"/>
        <v>46079</v>
      </c>
    </row>
    <row r="216" spans="1:1" x14ac:dyDescent="0.3">
      <c r="A216" s="2">
        <f t="shared" si="6"/>
        <v>46079</v>
      </c>
    </row>
    <row r="217" spans="1:1" x14ac:dyDescent="0.3">
      <c r="A217" s="2">
        <f t="shared" si="6"/>
        <v>46079</v>
      </c>
    </row>
  </sheetData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arScanner">
                <anchor moveWithCells="1">
                  <from>
                    <xdr:col>5</xdr:col>
                    <xdr:colOff>259080</xdr:colOff>
                    <xdr:row>1</xdr:row>
                    <xdr:rowOff>76200</xdr:rowOff>
                  </from>
                  <to>
                    <xdr:col>6</xdr:col>
                    <xdr:colOff>129540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egistrarPresenca">
                <anchor moveWithCells="1">
                  <from>
                    <xdr:col>7</xdr:col>
                    <xdr:colOff>304800</xdr:colOff>
                    <xdr:row>1</xdr:row>
                    <xdr:rowOff>114300</xdr:rowOff>
                  </from>
                  <to>
                    <xdr:col>8</xdr:col>
                    <xdr:colOff>175260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F1"/>
  <sheetViews>
    <sheetView workbookViewId="0">
      <selection activeCell="F2" sqref="F2"/>
    </sheetView>
  </sheetViews>
  <sheetFormatPr defaultRowHeight="14.4" x14ac:dyDescent="0.3"/>
  <sheetData>
    <row r="1" spans="1:6" x14ac:dyDescent="0.3">
      <c r="A1" s="1" t="s">
        <v>8</v>
      </c>
      <c r="B1" s="1" t="s">
        <v>4</v>
      </c>
      <c r="C1" s="1" t="s">
        <v>0</v>
      </c>
      <c r="D1" s="1" t="s">
        <v>1</v>
      </c>
      <c r="E1" s="1" t="s">
        <v>2</v>
      </c>
      <c r="F1" s="1" t="s">
        <v>9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4"/>
  <sheetViews>
    <sheetView workbookViewId="0"/>
  </sheetViews>
  <sheetFormatPr defaultRowHeight="14.4" x14ac:dyDescent="0.3"/>
  <sheetData>
    <row r="1" spans="1:2" x14ac:dyDescent="0.3">
      <c r="A1" t="s">
        <v>10</v>
      </c>
      <c r="B1">
        <f>COUNTA(FUNCIONARIOS!A:A)-1</f>
        <v>10</v>
      </c>
    </row>
    <row r="2" spans="1:2" x14ac:dyDescent="0.3">
      <c r="A2" t="s">
        <v>11</v>
      </c>
      <c r="B2">
        <f>COUNTIF(CONTROLE!F:F,"OK")</f>
        <v>8</v>
      </c>
    </row>
    <row r="3" spans="1:2" x14ac:dyDescent="0.3">
      <c r="A3" t="s">
        <v>12</v>
      </c>
      <c r="B3">
        <f>COUNTIF(CONTROLE!F:F,"NÃO")</f>
        <v>192</v>
      </c>
    </row>
    <row r="4" spans="1:2" x14ac:dyDescent="0.3">
      <c r="A4" t="s">
        <v>13</v>
      </c>
      <c r="B4">
        <f>IF(B1&gt;0,B2/B1,0)</f>
        <v>0.8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FUNCIONARIOS</vt:lpstr>
      <vt:lpstr>TREINAMENTOS</vt:lpstr>
      <vt:lpstr>ListaScanner</vt:lpstr>
      <vt:lpstr>CONTROLE</vt:lpstr>
      <vt:lpstr>PRESENCA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micheli scotti</cp:lastModifiedBy>
  <dcterms:created xsi:type="dcterms:W3CDTF">2026-02-26T23:59:29Z</dcterms:created>
  <dcterms:modified xsi:type="dcterms:W3CDTF">2026-02-27T01:02:58Z</dcterms:modified>
</cp:coreProperties>
</file>